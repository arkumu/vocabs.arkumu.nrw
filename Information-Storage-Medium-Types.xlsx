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elle1" sheetId="1" state="visible" r:id="rId3"/>
  </sheets>
  <definedNames>
    <definedName function="false" hidden="true" localSheetId="0" name="_xlnm._FilterDatabase" vbProcedure="false">Tabelle1!$A$12:$P$149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<sst xmlns="http://schemas.openxmlformats.org/spreadsheetml/2006/main" count="1027" uniqueCount="913">
  <si>
    <t xml:space="preserve">ConceptScheme URI</t>
  </si>
  <si>
    <t xml:space="preserve">http://w3id.org/arkumu/information-storage-medium-types</t>
  </si>
  <si>
    <r>
      <rPr>
        <sz val="10"/>
        <rFont val="Ubuntu Sans"/>
        <family val="2"/>
        <charset val="1"/>
      </rPr>
      <t xml:space="preserve">grüner Hintergrund: lässt sich </t>
    </r>
    <r>
      <rPr>
        <sz val="10"/>
        <color theme="1"/>
        <rFont val="Ubuntu Sans"/>
        <family val="2"/>
        <charset val="1"/>
      </rPr>
      <t xml:space="preserve"> mit https://xls2rdf.sparna.fr/web/convert </t>
    </r>
    <r>
      <rPr>
        <sz val="10"/>
        <rFont val="Ubuntu Sans"/>
        <family val="2"/>
        <charset val="1"/>
      </rPr>
      <t xml:space="preserve">nach rdf/skos konvertieren</t>
    </r>
  </si>
  <si>
    <t xml:space="preserve">(Angabe aus ursprünglichem Entwurf des Vokabulars, wichtig für Erfassungsmaske und Web-Portal. Wie kann dieser String automatisch generiert werden?)</t>
  </si>
  <si>
    <t xml:space="preserve">dct:title@en</t>
  </si>
  <si>
    <t xml:space="preserve">Information Storage Medium Types</t>
  </si>
  <si>
    <t xml:space="preserve">grau: wird nicht mit in SKOS konvertiert</t>
  </si>
  <si>
    <t xml:space="preserve">dct:title@de</t>
  </si>
  <si>
    <t xml:space="preserve">Informationsträgertypen</t>
  </si>
  <si>
    <t xml:space="preserve">rot: noch zu klären</t>
  </si>
  <si>
    <t xml:space="preserve">PREFIX</t>
  </si>
  <si>
    <t xml:space="preserve">vocab</t>
  </si>
  <si>
    <t xml:space="preserve">BASE</t>
  </si>
  <si>
    <t xml:space="preserve">http://w3id.org/arkumu/information-storage-medium-type</t>
  </si>
  <si>
    <t xml:space="preserve">dct:description@de</t>
  </si>
  <si>
    <t xml:space="preserve">Informationsträgertypen klassifizieren physische Informationsträger</t>
  </si>
  <si>
    <t xml:space="preserve">dct:description@en</t>
  </si>
  <si>
    <t xml:space="preserve">Information Storage Medium Types classify physical Information Storage Media</t>
  </si>
  <si>
    <t xml:space="preserve">dct:created^^xsd:date </t>
  </si>
  <si>
    <t xml:space="preserve">skos:editorialNote@de</t>
  </si>
  <si>
    <t xml:space="preserve">URI noch zu klären</t>
  </si>
  <si>
    <t xml:space="preserve"> dct:license</t>
  </si>
  <si>
    <t xml:space="preserve">https://creativecommons.org/publicdomain/zero/1.0/</t>
  </si>
  <si>
    <t xml:space="preserve">URI</t>
  </si>
  <si>
    <t xml:space="preserve">ID</t>
  </si>
  <si>
    <t xml:space="preserve">Parent</t>
  </si>
  <si>
    <t xml:space="preserve">English Name</t>
  </si>
  <si>
    <t xml:space="preserve">English Synonyms</t>
  </si>
  <si>
    <t xml:space="preserve">German Name</t>
  </si>
  <si>
    <t xml:space="preserve">German Synonyms</t>
  </si>
  <si>
    <t xml:space="preserve">Wikidata ID</t>
  </si>
  <si>
    <t xml:space="preserve">Wikidata URI</t>
  </si>
  <si>
    <t xml:space="preserve">GND ID</t>
  </si>
  <si>
    <r>
      <rPr>
        <b val="true"/>
        <sz val="10"/>
        <rFont val="Arial"/>
        <family val="2"/>
        <charset val="1"/>
      </rPr>
      <t xml:space="preserve">GND ID</t>
    </r>
    <r>
      <rPr>
        <b val="true"/>
        <sz val="10"/>
        <rFont val="Calibri"/>
        <family val="2"/>
        <charset val="1"/>
      </rPr>
      <t xml:space="preserve"> URI</t>
    </r>
  </si>
  <si>
    <t xml:space="preserve">AAT ID</t>
  </si>
  <si>
    <t xml:space="preserve">AAT URI</t>
  </si>
  <si>
    <t xml:space="preserve">Pbcore URI</t>
  </si>
  <si>
    <t xml:space="preserve">German Breadcrumb</t>
  </si>
  <si>
    <t xml:space="preserve">English Breadcrumb</t>
  </si>
  <si>
    <t xml:space="preserve">skos:notation</t>
  </si>
  <si>
    <t xml:space="preserve">skos:broader(lookupColumn="skos:notation")</t>
  </si>
  <si>
    <t xml:space="preserve">skos:prefLabel@en</t>
  </si>
  <si>
    <t xml:space="preserve">skos:altLabel@en(separator=",")</t>
  </si>
  <si>
    <t xml:space="preserve">skos:prefLabel@de</t>
  </si>
  <si>
    <t xml:space="preserve">skos:altLabel@de(separator=",")</t>
  </si>
  <si>
    <t xml:space="preserve">-</t>
  </si>
  <si>
    <t xml:space="preserve">skos:exactMatch</t>
  </si>
  <si>
    <t xml:space="preserve">http://w3id.org/arkumu/information-storage-medium-types/information-storage-medium-type-1</t>
  </si>
  <si>
    <t xml:space="preserve">Videocassette</t>
  </si>
  <si>
    <t xml:space="preserve">Videokassette</t>
  </si>
  <si>
    <t xml:space="preserve">Q121141504</t>
  </si>
  <si>
    <t xml:space="preserve">4188225-8</t>
  </si>
  <si>
    <t xml:space="preserve">http://pbcore.org/pbcore-controlled-vocabularies/instantiationphysical-video-vocabulary/#Videocassette</t>
  </si>
  <si>
    <t xml:space="preserve">http://w3id.org/arkumu/information-storage-medium-types/information-storage-medium-type-2</t>
  </si>
  <si>
    <t xml:space="preserve">Betacam</t>
  </si>
  <si>
    <t xml:space="preserve">Q830910</t>
  </si>
  <si>
    <t xml:space="preserve">http://pbcore.org/pbcore-controlled-vocabularies/instantiationphysical-video-vocabulary/#Betacam</t>
  </si>
  <si>
    <t xml:space="preserve">Videokassette &gt; Betacam</t>
  </si>
  <si>
    <t xml:space="preserve">Videocasette &gt; Betacam</t>
  </si>
  <si>
    <t xml:space="preserve">http://w3id.org/arkumu/information-storage-medium-types/information-storage-medium-type-3</t>
  </si>
  <si>
    <t xml:space="preserve">Betacam SP</t>
  </si>
  <si>
    <t xml:space="preserve">Q830904</t>
  </si>
  <si>
    <t xml:space="preserve">Videokassette &gt; Betacam &gt; Betacam SP</t>
  </si>
  <si>
    <t xml:space="preserve">Videocasette &gt; Betacam &gt; Betacam SP</t>
  </si>
  <si>
    <t xml:space="preserve">http://w3id.org/arkumu/information-storage-medium-types/information-storage-medium-type-4</t>
  </si>
  <si>
    <t xml:space="preserve">Betacam SX</t>
  </si>
  <si>
    <t xml:space="preserve">Q361797</t>
  </si>
  <si>
    <t xml:space="preserve">http://pbcore.org/pbcore-controlled-vocabularies/instantiationphysical-video-vocabulary/#BetacamSX</t>
  </si>
  <si>
    <t xml:space="preserve">Videokassette &gt; Betacam &gt; Betacam SX</t>
  </si>
  <si>
    <t xml:space="preserve">Videocasette &gt; Betacam &gt; Betacam SX</t>
  </si>
  <si>
    <t xml:space="preserve">http://w3id.org/arkumu/information-storage-medium-types/information-storage-medium-type-5</t>
  </si>
  <si>
    <t xml:space="preserve">Betamax</t>
  </si>
  <si>
    <t xml:space="preserve">Q690148</t>
  </si>
  <si>
    <t xml:space="preserve">http://pbcore.org/pbcore-controlled-vocabularies/instantiationphysical-video-vocabulary/#Betamax</t>
  </si>
  <si>
    <t xml:space="preserve">Videokassette &gt; Betamax</t>
  </si>
  <si>
    <t xml:space="preserve">Videocasette &gt; Betamax</t>
  </si>
  <si>
    <t xml:space="preserve">http://w3id.org/arkumu/information-storage-medium-types/information-storage-medium-type-6</t>
  </si>
  <si>
    <t xml:space="preserve">Catrivision</t>
  </si>
  <si>
    <t xml:space="preserve">Q5047444</t>
  </si>
  <si>
    <t xml:space="preserve">http://pbcore.org/pbcore-controlled-vocabularies/instantiationphysical-video-vocabulary/#Catrivision</t>
  </si>
  <si>
    <t xml:space="preserve">Videokassette &gt; Catrivision</t>
  </si>
  <si>
    <t xml:space="preserve">Videocasette &gt; Catrivision</t>
  </si>
  <si>
    <t xml:space="preserve">http://w3id.org/arkumu/information-storage-medium-types/information-storage-medium-type-7</t>
  </si>
  <si>
    <t xml:space="preserve">D1</t>
  </si>
  <si>
    <t xml:space="preserve">Q1151486</t>
  </si>
  <si>
    <t xml:space="preserve">http://pbcore.org/pbcore-controlled-vocabularies/instantiationphysical-video-vocabulary/#D1</t>
  </si>
  <si>
    <t xml:space="preserve">Videokassette &gt; D1</t>
  </si>
  <si>
    <t xml:space="preserve">Videocasette &gt; D1</t>
  </si>
  <si>
    <t xml:space="preserve">http://w3id.org/arkumu/information-storage-medium-types/information-storage-medium-type-8</t>
  </si>
  <si>
    <t xml:space="preserve">D2</t>
  </si>
  <si>
    <t xml:space="preserve">Q1158883</t>
  </si>
  <si>
    <t xml:space="preserve">http://pbcore.org/pbcore-controlled-vocabularies/instantiationphysical-video-vocabulary/#D2</t>
  </si>
  <si>
    <t xml:space="preserve">Videokassette &gt; D2</t>
  </si>
  <si>
    <t xml:space="preserve">Videocasette &gt; D2</t>
  </si>
  <si>
    <t xml:space="preserve">http://w3id.org/arkumu/information-storage-medium-types/information-storage-medium-type-9</t>
  </si>
  <si>
    <t xml:space="preserve">D3</t>
  </si>
  <si>
    <t xml:space="preserve">Q736474</t>
  </si>
  <si>
    <t xml:space="preserve">http://pbcore.org/pbcore-controlled-vocabularies/instantiationphysical-video-vocabulary/#D3</t>
  </si>
  <si>
    <t xml:space="preserve">Videokassette &gt; D3</t>
  </si>
  <si>
    <t xml:space="preserve">Videocasette &gt; D3</t>
  </si>
  <si>
    <t xml:space="preserve">http://w3id.org/arkumu/information-storage-medium-types/information-storage-medium-type-10</t>
  </si>
  <si>
    <t xml:space="preserve">D5</t>
  </si>
  <si>
    <t xml:space="preserve">Q2738019</t>
  </si>
  <si>
    <t xml:space="preserve">http://pbcore.org/pbcore-controlled-vocabularies/instantiationphysical-video-vocabulary/#D5</t>
  </si>
  <si>
    <t xml:space="preserve">Videokassette &gt; D5</t>
  </si>
  <si>
    <t xml:space="preserve">Videocasette &gt; D5</t>
  </si>
  <si>
    <t xml:space="preserve">http://w3id.org/arkumu/information-storage-medium-types/information-storage-medium-type-11</t>
  </si>
  <si>
    <t xml:space="preserve">D6</t>
  </si>
  <si>
    <t xml:space="preserve">D6-VTR</t>
  </si>
  <si>
    <t xml:space="preserve">Q3700253</t>
  </si>
  <si>
    <t xml:space="preserve">http://pbcore.org/pbcore-controlled-vocabularies/instantiationphysical-video-vocabulary/#D6</t>
  </si>
  <si>
    <t xml:space="preserve">Videokassette &gt; D6</t>
  </si>
  <si>
    <t xml:space="preserve">Videocasette &gt; D6</t>
  </si>
  <si>
    <t xml:space="preserve">http://w3id.org/arkumu/information-storage-medium-types/information-storage-medium-type-12</t>
  </si>
  <si>
    <t xml:space="preserve">D9</t>
  </si>
  <si>
    <t xml:space="preserve">D-9,Digital S</t>
  </si>
  <si>
    <t xml:space="preserve">Q1151555</t>
  </si>
  <si>
    <t xml:space="preserve">http://pbcore.org/pbcore-controlled-vocabularies/instantiationphysical-video-vocabulary/#D9</t>
  </si>
  <si>
    <t xml:space="preserve">Videokassette &gt; D9</t>
  </si>
  <si>
    <t xml:space="preserve">Videocasette &gt; D9</t>
  </si>
  <si>
    <t xml:space="preserve">http://w3id.org/arkumu/information-storage-medium-types/information-storage-medium-type-13</t>
  </si>
  <si>
    <t xml:space="preserve">DCT</t>
  </si>
  <si>
    <t xml:space="preserve">Q3700309</t>
  </si>
  <si>
    <t xml:space="preserve">http://pbcore.org/pbcore-controlled-vocabularies/instantiationphysical-video-vocabulary/#DCT</t>
  </si>
  <si>
    <t xml:space="preserve">Videokassette &gt; DCT</t>
  </si>
  <si>
    <t xml:space="preserve">Videocasette &gt; DCT</t>
  </si>
  <si>
    <t xml:space="preserve">http://w3id.org/arkumu/information-storage-medium-types/information-storage-medium-type-14</t>
  </si>
  <si>
    <t xml:space="preserve">Digital Betacam</t>
  </si>
  <si>
    <t xml:space="preserve">DigiBeta,D-Beta</t>
  </si>
  <si>
    <t xml:space="preserve">Q1751553</t>
  </si>
  <si>
    <t xml:space="preserve">http://pbcore.org/pbcore-controlled-vocabularies/instantiationphysical-video-vocabulary/#DigitalBetacam</t>
  </si>
  <si>
    <t xml:space="preserve">Videokassette &gt; Digital Betacam</t>
  </si>
  <si>
    <t xml:space="preserve">Videocasette &gt; Digital Betacam</t>
  </si>
  <si>
    <t xml:space="preserve">http://w3id.org/arkumu/information-storage-medium-types/information-storage-medium-type-15</t>
  </si>
  <si>
    <t xml:space="preserve">Digital8</t>
  </si>
  <si>
    <t xml:space="preserve">Digital 8,Di8</t>
  </si>
  <si>
    <t xml:space="preserve">Q930337</t>
  </si>
  <si>
    <t xml:space="preserve">http://pbcore.org/pbcore-controlled-vocabularies/instantiationphysical-video-vocabulary/#Digital8</t>
  </si>
  <si>
    <t xml:space="preserve">Videokassette &gt; Digital8</t>
  </si>
  <si>
    <t xml:space="preserve">Videocasette &gt; Digital8</t>
  </si>
  <si>
    <t xml:space="preserve">http://w3id.org/arkumu/information-storage-medium-types/information-storage-medium-type-16</t>
  </si>
  <si>
    <t xml:space="preserve">DV</t>
  </si>
  <si>
    <t xml:space="preserve">Q3796889</t>
  </si>
  <si>
    <t xml:space="preserve">http://pbcore.org/pbcore-controlled-vocabularies/instantiationphysical-video-vocabulary/#DV</t>
  </si>
  <si>
    <t xml:space="preserve">Videokassette &gt; DV</t>
  </si>
  <si>
    <t xml:space="preserve">Videocasette &gt; DV</t>
  </si>
  <si>
    <t xml:space="preserve">http://w3id.org/arkumu/information-storage-medium-types/information-storage-medium-type-17</t>
  </si>
  <si>
    <t xml:space="preserve">DVCAM</t>
  </si>
  <si>
    <t xml:space="preserve">Q1361160</t>
  </si>
  <si>
    <t xml:space="preserve">http://pbcore.org/pbcore-controlled-vocabularies/instantiationphysical-video-vocabulary/#DVCAM</t>
  </si>
  <si>
    <t xml:space="preserve">Videokassette &gt; DVCAM</t>
  </si>
  <si>
    <t xml:space="preserve">Videocasette &gt; DVCAM</t>
  </si>
  <si>
    <t xml:space="preserve">http://w3id.org/arkumu/information-storage-medium-types/information-storage-medium-type-18</t>
  </si>
  <si>
    <t xml:space="preserve">DVCPRO</t>
  </si>
  <si>
    <t xml:space="preserve">DVCPro 25,DVCPro 50,DVCPro Progressive,DVCPro HD,P2</t>
  </si>
  <si>
    <t xml:space="preserve">Q20183259</t>
  </si>
  <si>
    <t xml:space="preserve">http://pbcore.org/pbcore-controlled-vocabularies/instantiationphysical-video-vocabulary/#DVCPRO</t>
  </si>
  <si>
    <t xml:space="preserve">Videokassette &gt; DVCPRO</t>
  </si>
  <si>
    <t xml:space="preserve">Videocasette &gt; DVCPRO</t>
  </si>
  <si>
    <t xml:space="preserve">http://w3id.org/arkumu/information-storage-medium-types/information-storage-medium-type-19</t>
  </si>
  <si>
    <t xml:space="preserve">HDCAM</t>
  </si>
  <si>
    <t xml:space="preserve">HDCAM SR</t>
  </si>
  <si>
    <t xml:space="preserve">Q1194529</t>
  </si>
  <si>
    <t xml:space="preserve">http://pbcore.org/pbcore-controlled-vocabularies/instantiationphysical-video-vocabulary/#HDCAM</t>
  </si>
  <si>
    <t xml:space="preserve">Videokassette &gt; HDCAM</t>
  </si>
  <si>
    <t xml:space="preserve">Videocasette &gt; HDCAM</t>
  </si>
  <si>
    <t xml:space="preserve">http://w3id.org/arkumu/information-storage-medium-types/information-storage-medium-type-20</t>
  </si>
  <si>
    <t xml:space="preserve">HDV</t>
  </si>
  <si>
    <t xml:space="preserve">Q1563058</t>
  </si>
  <si>
    <t xml:space="preserve">http://pbcore.org/pbcore-controlled-vocabularies/instantiationphysical-video-vocabulary/#HDV</t>
  </si>
  <si>
    <t xml:space="preserve">Videokassette &gt; HDV</t>
  </si>
  <si>
    <t xml:space="preserve">Videocasette &gt; HDV</t>
  </si>
  <si>
    <t xml:space="preserve">http://w3id.org/arkumu/information-storage-medium-types/information-storage-medium-type-21</t>
  </si>
  <si>
    <t xml:space="preserve">Hi8</t>
  </si>
  <si>
    <t xml:space="preserve">Q2302273</t>
  </si>
  <si>
    <t xml:space="preserve">http://pbcore.org/pbcore-controlled-vocabularies/instantiationphysical-video-vocabulary/#Hi8</t>
  </si>
  <si>
    <t xml:space="preserve">Videokassette &gt; Hi8</t>
  </si>
  <si>
    <t xml:space="preserve">Videocasette &gt; Hi8</t>
  </si>
  <si>
    <t xml:space="preserve">http://w3id.org/arkumu/information-storage-medium-types/information-storage-medium-type-22</t>
  </si>
  <si>
    <t xml:space="preserve">MII</t>
  </si>
  <si>
    <t xml:space="preserve">Q3841334</t>
  </si>
  <si>
    <t xml:space="preserve">http://pbcore.org/pbcore-controlled-vocabularies/instantiationphysical-video-vocabulary/#MII</t>
  </si>
  <si>
    <t xml:space="preserve">Videokassette &gt; MII</t>
  </si>
  <si>
    <t xml:space="preserve">Videocasette &gt; MII</t>
  </si>
  <si>
    <t xml:space="preserve">http://w3id.org/arkumu/information-storage-medium-types/information-storage-medium-type-23</t>
  </si>
  <si>
    <t xml:space="preserve">MiniDV</t>
  </si>
  <si>
    <t xml:space="preserve">DVC</t>
  </si>
  <si>
    <t xml:space="preserve">Q6957908</t>
  </si>
  <si>
    <t xml:space="preserve">http://pbcore.org/pbcore-controlled-vocabularies/instantiationphysical-video-vocabulary/#MiniDV</t>
  </si>
  <si>
    <t xml:space="preserve">Videokassette &gt; MiniDV</t>
  </si>
  <si>
    <t xml:space="preserve">Videocasette &gt; MiniDV</t>
  </si>
  <si>
    <t xml:space="preserve">http://w3id.org/arkumu/information-storage-medium-types/information-storage-medium-type-24</t>
  </si>
  <si>
    <t xml:space="preserve">U-matic</t>
  </si>
  <si>
    <t xml:space="preserve">U-matic S,U-matic SP</t>
  </si>
  <si>
    <t xml:space="preserve">Q278080</t>
  </si>
  <si>
    <t xml:space="preserve">http://pbcore.org/pbcore-controlled-vocabularies/instantiationphysical-video-vocabulary/#Umatic</t>
  </si>
  <si>
    <t xml:space="preserve">Videokassette &gt; U-matic</t>
  </si>
  <si>
    <t xml:space="preserve">Videocasette &gt; U-matic</t>
  </si>
  <si>
    <t xml:space="preserve">http://w3id.org/arkumu/information-storage-medium-types/information-storage-medium-type-25</t>
  </si>
  <si>
    <t xml:space="preserve">V-Cord</t>
  </si>
  <si>
    <t xml:space="preserve">Q5929966</t>
  </si>
  <si>
    <t xml:space="preserve">http://pbcore.org/pbcore-controlled-vocabularies/instantiationphysical-video-vocabulary/#Vcord</t>
  </si>
  <si>
    <t xml:space="preserve">Videokassette &gt; V-Cord</t>
  </si>
  <si>
    <t xml:space="preserve">Videocasette &gt; V-Cord</t>
  </si>
  <si>
    <t xml:space="preserve">http://w3id.org/arkumu/information-storage-medium-types/information-storage-medium-type-26</t>
  </si>
  <si>
    <t xml:space="preserve">VHS</t>
  </si>
  <si>
    <t xml:space="preserve">Q183976</t>
  </si>
  <si>
    <t xml:space="preserve">http://pbcore.org/pbcore-controlled-vocabularies/instantiationphysical-video-vocabulary/#VHS</t>
  </si>
  <si>
    <t xml:space="preserve">Videokassette &gt; VHS</t>
  </si>
  <si>
    <t xml:space="preserve">Videocasette &gt; VHS</t>
  </si>
  <si>
    <t xml:space="preserve">http://w3id.org/arkumu/information-storage-medium-types/information-storage-medium-type-27</t>
  </si>
  <si>
    <t xml:space="preserve">S-VHS</t>
  </si>
  <si>
    <t xml:space="preserve">Q1050875</t>
  </si>
  <si>
    <t xml:space="preserve">Videokassette &gt; VHS &gt; S-VHS</t>
  </si>
  <si>
    <t xml:space="preserve">Videocasette &gt; VHS &gt; S-VHS</t>
  </si>
  <si>
    <t xml:space="preserve">http://w3id.org/arkumu/information-storage-medium-types/information-storage-medium-type-28</t>
  </si>
  <si>
    <t xml:space="preserve">VHS-C</t>
  </si>
  <si>
    <t xml:space="preserve">Q549855</t>
  </si>
  <si>
    <t xml:space="preserve">http://w3id.org/arkumu/information-storage-medium-types/information-storage-medium-type-29</t>
  </si>
  <si>
    <t xml:space="preserve">Video8</t>
  </si>
  <si>
    <t xml:space="preserve">Q1155472</t>
  </si>
  <si>
    <t xml:space="preserve">http://pbcore.org/pbcore-controlled-vocabularies/instantiationphysical-video-vocabulary/#Video8</t>
  </si>
  <si>
    <t xml:space="preserve">Videokassette &gt; Video8</t>
  </si>
  <si>
    <t xml:space="preserve">Videocasette &gt; Video8</t>
  </si>
  <si>
    <t xml:space="preserve">http://w3id.org/arkumu/information-storage-medium-types/information-storage-medium-type-30</t>
  </si>
  <si>
    <t xml:space="preserve">VX</t>
  </si>
  <si>
    <t xml:space="preserve">Q7907690</t>
  </si>
  <si>
    <t xml:space="preserve">http://pbcore.org/pbcore-controlled-vocabularies/instantiationphysical-video-vocabulary/#VX</t>
  </si>
  <si>
    <t xml:space="preserve">Videokassette &gt; VX</t>
  </si>
  <si>
    <t xml:space="preserve">Videocasette &gt; VX</t>
  </si>
  <si>
    <t xml:space="preserve">http://w3id.org/arkumu/information-storage-medium-types/information-storage-medium-type-31</t>
  </si>
  <si>
    <t xml:space="preserve">Open Reel Videotape</t>
  </si>
  <si>
    <t xml:space="preserve">Videoband</t>
  </si>
  <si>
    <t xml:space="preserve">Offenspule Video,Offene Videobandspule</t>
  </si>
  <si>
    <t xml:space="preserve">Q29167500</t>
  </si>
  <si>
    <t xml:space="preserve">http://pbcore.org/pbcore-controlled-vocabularies/instantiationphysical-video-vocabulary/#OpenReelVideoTape</t>
  </si>
  <si>
    <t xml:space="preserve">http://w3id.org/arkumu/information-storage-medium-types/information-storage-medium-type-32</t>
  </si>
  <si>
    <t xml:space="preserve">1 Inch Type A Videotape</t>
  </si>
  <si>
    <t xml:space="preserve">SMPTE Type A</t>
  </si>
  <si>
    <t xml:space="preserve">1 Zoll A Videoband</t>
  </si>
  <si>
    <t xml:space="preserve">Q3597951</t>
  </si>
  <si>
    <t xml:space="preserve">Videoband &gt; 1 Zoll A Videoband</t>
  </si>
  <si>
    <t xml:space="preserve">Open Reel Videotape &gt; 1 Inch Type A Videotape</t>
  </si>
  <si>
    <t xml:space="preserve">http://w3id.org/arkumu/information-storage-medium-types/information-storage-medium-type-33</t>
  </si>
  <si>
    <t xml:space="preserve">1 Inch Type B Videotape</t>
  </si>
  <si>
    <t xml:space="preserve">SMPTE Type B</t>
  </si>
  <si>
    <t xml:space="preserve">1 Zoll B Videoband</t>
  </si>
  <si>
    <t xml:space="preserve">Q3597955</t>
  </si>
  <si>
    <t xml:space="preserve">Videoband &gt; 1 Zoll B Videoband</t>
  </si>
  <si>
    <t xml:space="preserve">Open Reel Videotape &gt; 1 Inch Type B Videotape</t>
  </si>
  <si>
    <t xml:space="preserve">http://w3id.org/arkumu/information-storage-medium-types/information-storage-medium-type-34</t>
  </si>
  <si>
    <t xml:space="preserve">1 Inch Type C Videotape</t>
  </si>
  <si>
    <t xml:space="preserve">SMPTE Type C</t>
  </si>
  <si>
    <t xml:space="preserve">1 Zoll C Videoband</t>
  </si>
  <si>
    <t xml:space="preserve">Q209020</t>
  </si>
  <si>
    <t xml:space="preserve">http://pbcore.org/pbcore-controlled-vocabularies/instantiationphysical-video-vocabulary/#1InchVideotape</t>
  </si>
  <si>
    <t xml:space="preserve">Videoband &gt; 1 Zoll C Videoband</t>
  </si>
  <si>
    <t xml:space="preserve">Open Reel Videotape &gt; 1 Inch Type C Videotape</t>
  </si>
  <si>
    <t xml:space="preserve">http://w3id.org/arkumu/information-storage-medium-types/information-storage-medium-type-35</t>
  </si>
  <si>
    <t xml:space="preserve">1/2 Inch Videotape</t>
  </si>
  <si>
    <t xml:space="preserve">EIAJ-1</t>
  </si>
  <si>
    <t xml:space="preserve">1/2 Zoll Videoband</t>
  </si>
  <si>
    <t xml:space="preserve">Q3748136</t>
  </si>
  <si>
    <t xml:space="preserve">http://pbcore.org/pbcore-controlled-vocabularies/instantiationphysical-video-vocabulary/#HalfInchVideotape</t>
  </si>
  <si>
    <t xml:space="preserve">Videoband &gt; 1/2 Zoll Videoband</t>
  </si>
  <si>
    <t xml:space="preserve">Open Reel Videotape &gt; 1/2 Inch Videotape</t>
  </si>
  <si>
    <t xml:space="preserve">http://w3id.org/arkumu/information-storage-medium-types/information-storage-medium-type-36</t>
  </si>
  <si>
    <t xml:space="preserve">1/4 Inch Videotape</t>
  </si>
  <si>
    <t xml:space="preserve">Akai Video Tape</t>
  </si>
  <si>
    <t xml:space="preserve">1/4 Zoll Videoband</t>
  </si>
  <si>
    <t xml:space="preserve">Q4700172</t>
  </si>
  <si>
    <t xml:space="preserve">http://pbcore.org/pbcore-controlled-vocabularies/instantiationphysical-video-vocabulary/#QuarterInchVideotape</t>
  </si>
  <si>
    <t xml:space="preserve">Videoband &gt; 1/4 Zoll Videoband</t>
  </si>
  <si>
    <t xml:space="preserve">Open Reel Videotape &gt; 1/4 Inch Videotape</t>
  </si>
  <si>
    <t xml:space="preserve">http://w3id.org/arkumu/information-storage-medium-types/information-storage-medium-type-37</t>
  </si>
  <si>
    <t xml:space="preserve">2 Inch Videotape</t>
  </si>
  <si>
    <t xml:space="preserve">Quadruplex,Octaplex,VR-1500,VR-1600,IVC-9000,Helical SV-201,ACR 25</t>
  </si>
  <si>
    <t xml:space="preserve">2 Zoll Videoband</t>
  </si>
  <si>
    <t xml:space="preserve">Q122763358</t>
  </si>
  <si>
    <t xml:space="preserve">http://pbcore.org/pbcore-controlled-vocabularies/instantiationphysical-video-vocabulary/#2InchVideotape</t>
  </si>
  <si>
    <t xml:space="preserve">Videoband &gt; 2 Zoll Videoband</t>
  </si>
  <si>
    <t xml:space="preserve">Open Reel Videotape &gt; 2 Inch Videotape</t>
  </si>
  <si>
    <t xml:space="preserve">http://w3id.org/arkumu/information-storage-medium-types/information-storage-medium-type-38</t>
  </si>
  <si>
    <t xml:space="preserve">Optical Video Disc</t>
  </si>
  <si>
    <t xml:space="preserve">Optischer Videodatenträger</t>
  </si>
  <si>
    <t xml:space="preserve">Q234870</t>
  </si>
  <si>
    <t xml:space="preserve">http://pbcore.org/pbcore-controlled-vocabularies/instantiationphysical-video-vocabulary/#OpticalVideoDisc</t>
  </si>
  <si>
    <t xml:space="preserve">http://w3id.org/arkumu/information-storage-medium-types/information-storage-medium-type-39</t>
  </si>
  <si>
    <t xml:space="preserve">Blu-ray Video Disc</t>
  </si>
  <si>
    <t xml:space="preserve">Video-BD</t>
  </si>
  <si>
    <t xml:space="preserve">Q47770</t>
  </si>
  <si>
    <t xml:space="preserve">7597887-8</t>
  </si>
  <si>
    <t xml:space="preserve">http://pbcore.org/pbcore-controlled-vocabularies/instantiationphysical-video-vocabulary/#BluRayDisc</t>
  </si>
  <si>
    <t xml:space="preserve">Optischer Videodatenträger &gt; Blu-ray Video Disc</t>
  </si>
  <si>
    <t xml:space="preserve">Optical Video Disc &gt; Blu-ray Video Disc</t>
  </si>
  <si>
    <t xml:space="preserve">http://w3id.org/arkumu/information-storage-medium-types/information-storage-medium-type-40</t>
  </si>
  <si>
    <t xml:space="preserve">Video-DVD</t>
  </si>
  <si>
    <t xml:space="preserve">Video DVD+R,Video DVD+R DL,Video DVD-R,Video DVD-RW,Video DVD+RW</t>
  </si>
  <si>
    <t xml:space="preserve">Q5294</t>
  </si>
  <si>
    <t xml:space="preserve">http://pbcore.org/pbcore-controlled-vocabularies/instantiationphysical-video-vocabulary/#DVD</t>
  </si>
  <si>
    <t xml:space="preserve">Optischer Videodatenträger &gt; Video-DVD</t>
  </si>
  <si>
    <t xml:space="preserve">Optical Video Disc &gt; Video-DVD</t>
  </si>
  <si>
    <t xml:space="preserve">http://w3id.org/arkumu/information-storage-medium-types/information-storage-medium-type-41</t>
  </si>
  <si>
    <t xml:space="preserve">EVD</t>
  </si>
  <si>
    <t xml:space="preserve">Enhanced Versatile Disc</t>
  </si>
  <si>
    <t xml:space="preserve">Q1152899</t>
  </si>
  <si>
    <t xml:space="preserve">http://pbcore.org/pbcore-controlled-vocabularies/instantiationphysical-video-vocabulary/#EVD</t>
  </si>
  <si>
    <t xml:space="preserve">Optischer Videodatenträger &gt; EVD</t>
  </si>
  <si>
    <t xml:space="preserve">Optical Video Disc &gt; EVD</t>
  </si>
  <si>
    <t xml:space="preserve">http://w3id.org/arkumu/information-storage-medium-types/information-storage-medium-type-42</t>
  </si>
  <si>
    <t xml:space="preserve">LaserDisc</t>
  </si>
  <si>
    <t xml:space="preserve">CAV,CLV,CAA</t>
  </si>
  <si>
    <t xml:space="preserve">Q273309</t>
  </si>
  <si>
    <t xml:space="preserve">http://pbcore.org/pbcore-controlled-vocabularies/instantiationphysical-video-vocabulary/#LaserDisc</t>
  </si>
  <si>
    <t xml:space="preserve">Optischer Videodatenträger &gt; LaserDisc</t>
  </si>
  <si>
    <t xml:space="preserve">Optical Video Disc &gt; LaserDisc</t>
  </si>
  <si>
    <t xml:space="preserve">http://w3id.org/arkumu/information-storage-medium-types/information-storage-medium-type-43</t>
  </si>
  <si>
    <t xml:space="preserve">Video CD</t>
  </si>
  <si>
    <t xml:space="preserve">VCD</t>
  </si>
  <si>
    <t xml:space="preserve">Q321259</t>
  </si>
  <si>
    <t xml:space="preserve">4654578-5</t>
  </si>
  <si>
    <t xml:space="preserve">Optischer Videodatenträger &gt; Video CD</t>
  </si>
  <si>
    <t xml:space="preserve">Optical Video Disc &gt; Video CD</t>
  </si>
  <si>
    <t xml:space="preserve">http://w3id.org/arkumu/information-storage-medium-types/information-storage-medium-type-44</t>
  </si>
  <si>
    <t xml:space="preserve">Super Video CD</t>
  </si>
  <si>
    <t xml:space="preserve">Q428159</t>
  </si>
  <si>
    <t xml:space="preserve">http://pbcore.org/pbcore-controlled-vocabularies/instantiationphysical-video-vocabulary/#SuperVideoCD</t>
  </si>
  <si>
    <t xml:space="preserve">Optischer Videodatenträger &gt; Super Video CD</t>
  </si>
  <si>
    <t xml:space="preserve">Optical Video Disc &gt; Super Video CD</t>
  </si>
  <si>
    <t xml:space="preserve">http://w3id.org/arkumu/information-storage-medium-types/information-storage-medium-type-45</t>
  </si>
  <si>
    <t xml:space="preserve">Universal Media Disc</t>
  </si>
  <si>
    <t xml:space="preserve">Q270309</t>
  </si>
  <si>
    <t xml:space="preserve">http://pbcore.org/pbcore-controlled-vocabularies/instantiationphysical-video-vocabulary/#UniversalMediaDisc</t>
  </si>
  <si>
    <t xml:space="preserve">Optischer Videodatenträger &gt; Universal Media Disc</t>
  </si>
  <si>
    <t xml:space="preserve">Optical Video Disc &gt; Universal Media Disc</t>
  </si>
  <si>
    <t xml:space="preserve">http://w3id.org/arkumu/information-storage-medium-types/information-storage-medium-type-46</t>
  </si>
  <si>
    <t xml:space="preserve">XDCAM Disc</t>
  </si>
  <si>
    <t xml:space="preserve">Q1153113</t>
  </si>
  <si>
    <t xml:space="preserve">Optischer Videodatenträger &gt; XDCAM Disc</t>
  </si>
  <si>
    <t xml:space="preserve">Optical Video Disc &gt; XDCAM Disc</t>
  </si>
  <si>
    <t xml:space="preserve">http://w3id.org/arkumu/information-storage-medium-types/information-storage-medium-type-47</t>
  </si>
  <si>
    <t xml:space="preserve">Mechanical Audio Storage Medium</t>
  </si>
  <si>
    <t xml:space="preserve">Mechanischer Tonträger</t>
  </si>
  <si>
    <t xml:space="preserve">Q123117748</t>
  </si>
  <si>
    <t xml:space="preserve">http://w3id.org/arkumu/information-storage-medium-types/information-storage-medium-type-48</t>
  </si>
  <si>
    <t xml:space="preserve">Dictabelt</t>
  </si>
  <si>
    <t xml:space="preserve">Q5273930</t>
  </si>
  <si>
    <t xml:space="preserve">http://pbcore.org/pbcore-controlled-vocabularies/instantiationphysical-audio-vocabulary/#GroovedDictabelt</t>
  </si>
  <si>
    <t xml:space="preserve">Mechanischer Tonträger &gt; Dictabelt</t>
  </si>
  <si>
    <t xml:space="preserve">Mechanical Audio Storage Medium &gt; Dictabelt</t>
  </si>
  <si>
    <t xml:space="preserve">http://w3id.org/arkumu/information-storage-medium-types/information-storage-medium-type-49</t>
  </si>
  <si>
    <t xml:space="preserve">Phonograph Cylinder</t>
  </si>
  <si>
    <t xml:space="preserve">Phonograph Roll,Audio Cylinder</t>
  </si>
  <si>
    <t xml:space="preserve">Phonographenwalze</t>
  </si>
  <si>
    <t xml:space="preserve">Q691783</t>
  </si>
  <si>
    <t xml:space="preserve">4536294-4</t>
  </si>
  <si>
    <t xml:space="preserve">Mechanischer Tonträger &gt; Phonographenwalze</t>
  </si>
  <si>
    <t xml:space="preserve">Mechanical Audio Storage Medium &gt; Phonograph Cylinder</t>
  </si>
  <si>
    <t xml:space="preserve">http://w3id.org/arkumu/information-storage-medium-types/information-storage-medium-type-50</t>
  </si>
  <si>
    <t xml:space="preserve">Normal Groove Cylinder</t>
  </si>
  <si>
    <t xml:space="preserve">2 Minute Cylinder,Two Minute Cylinder</t>
  </si>
  <si>
    <t xml:space="preserve">Normalspiel-Walze</t>
  </si>
  <si>
    <t xml:space="preserve">2-Minuten-Walze,2-Minuten-Zylinder,Zwei-Minuten-Walze,Zwei-Minuten-Zylinder</t>
  </si>
  <si>
    <t xml:space="preserve">Q123117896</t>
  </si>
  <si>
    <t xml:space="preserve">Mechanischer Tonträger &gt; Phonographenwalze &gt; Normalspiel-Walze</t>
  </si>
  <si>
    <t xml:space="preserve">Mechanical Audio Storage Medium &gt; Phonograph Cylinder &gt; Normal Groove Cylinder</t>
  </si>
  <si>
    <t xml:space="preserve">http://w3id.org/arkumu/information-storage-medium-types/information-storage-medium-type-51</t>
  </si>
  <si>
    <t xml:space="preserve">Narrow Groove Cylinder</t>
  </si>
  <si>
    <t xml:space="preserve">4 Minute Cylinder,Four Minute Cylinder</t>
  </si>
  <si>
    <t xml:space="preserve">Langspiel-Walze</t>
  </si>
  <si>
    <t xml:space="preserve">4-Minuten-Walze,4-Minuten-Zylinder,Vier-Minuten-Walze,Vier-Minuten-Zylinder</t>
  </si>
  <si>
    <t xml:space="preserve">Q123117963</t>
  </si>
  <si>
    <t xml:space="preserve">Mechanischer Tonträger &gt; Phonographenwalze &gt; Langspiel-Walze</t>
  </si>
  <si>
    <t xml:space="preserve">Mechanical Audio Storage Medium &gt; Phonograph Cylinder &gt; Narrow Groove Cylinder</t>
  </si>
  <si>
    <t xml:space="preserve">http://w3id.org/arkumu/information-storage-medium-types/information-storage-medium-type-52</t>
  </si>
  <si>
    <t xml:space="preserve">Dictation Cylinder</t>
  </si>
  <si>
    <t xml:space="preserve">Diktat-Zylinder</t>
  </si>
  <si>
    <t xml:space="preserve">Q123118001</t>
  </si>
  <si>
    <t xml:space="preserve">Mechanischer Tonträger &gt; Phonographenwalze &gt; Diktat-Zylinder</t>
  </si>
  <si>
    <t xml:space="preserve">Mechanical Audio Storage Medium &gt; Phonograph Cylinder &gt; Dictation Cylinder</t>
  </si>
  <si>
    <t xml:space="preserve">http://w3id.org/arkumu/information-storage-medium-types/information-storage-medium-type-53</t>
  </si>
  <si>
    <t xml:space="preserve">Grooved Analog Disc</t>
  </si>
  <si>
    <t xml:space="preserve">Schallplatte</t>
  </si>
  <si>
    <t xml:space="preserve">Q16629185</t>
  </si>
  <si>
    <t xml:space="preserve">4052032-8</t>
  </si>
  <si>
    <t xml:space="preserve">http://pbcore.org/pbcore-controlled-vocabularies/instantiationphysical-audio-vocabulary/#GroovedAnalogDisc</t>
  </si>
  <si>
    <t xml:space="preserve">Mechanischer Tonträger &gt; Schallplatte</t>
  </si>
  <si>
    <t xml:space="preserve">Mechanical Audio Storage Medium &gt; Grooved Analog Disc</t>
  </si>
  <si>
    <t xml:space="preserve">http://w3id.org/arkumu/information-storage-medium-types/information-storage-medium-type-54</t>
  </si>
  <si>
    <t xml:space="preserve">Coarse Groove Record</t>
  </si>
  <si>
    <t xml:space="preserve">Normalrillen-Schallplatte</t>
  </si>
  <si>
    <t xml:space="preserve">Q123118095</t>
  </si>
  <si>
    <t xml:space="preserve">4135113-7</t>
  </si>
  <si>
    <t xml:space="preserve">Mechanischer Tonträger &gt; Schallplatte &gt; Normalrillen-Schallplatte</t>
  </si>
  <si>
    <t xml:space="preserve">Mechanical Audio Storage Medium &gt; Grooved Analog Disc &gt; Coarse Groove Record</t>
  </si>
  <si>
    <t xml:space="preserve">http://w3id.org/arkumu/information-storage-medium-types/information-storage-medium-type-55</t>
  </si>
  <si>
    <t xml:space="preserve">Microgroove Record</t>
  </si>
  <si>
    <t xml:space="preserve">Mikrorillen-Schallplatte</t>
  </si>
  <si>
    <t xml:space="preserve">Q86816874</t>
  </si>
  <si>
    <t xml:space="preserve">Mechanischer Tonträger &gt; Schallplatte &gt; Mikrorillen-Schallplatte</t>
  </si>
  <si>
    <t xml:space="preserve">Mechanical Audio Storage Medium &gt; Grooved Analog Disc &gt; Microgroove Record</t>
  </si>
  <si>
    <t xml:space="preserve">http://w3id.org/arkumu/information-storage-medium-types/information-storage-medium-type-56</t>
  </si>
  <si>
    <t xml:space="preserve">Tefifon Tape</t>
  </si>
  <si>
    <t xml:space="preserve">Tefifon-Band</t>
  </si>
  <si>
    <t xml:space="preserve">Q1676393</t>
  </si>
  <si>
    <t xml:space="preserve">Mechanischer Tonträger &gt; Tefifon-Band</t>
  </si>
  <si>
    <t xml:space="preserve">Mechanical Audio Storage Medium &gt; Tefifon Tape</t>
  </si>
  <si>
    <t xml:space="preserve">http://w3id.org/arkumu/information-storage-medium-types/information-storage-medium-type-57</t>
  </si>
  <si>
    <t xml:space="preserve">Magnetic Audio Storage Medium</t>
  </si>
  <si>
    <t xml:space="preserve">Magnetischer Tonträger</t>
  </si>
  <si>
    <t xml:space="preserve">Q123118470</t>
  </si>
  <si>
    <t xml:space="preserve">http://w3id.org/arkumu/information-storage-medium-types/information-storage-medium-type-58</t>
  </si>
  <si>
    <t xml:space="preserve">Magnetic Audio Tape</t>
  </si>
  <si>
    <t xml:space="preserve">Magnettonband</t>
  </si>
  <si>
    <t xml:space="preserve">Q123118513</t>
  </si>
  <si>
    <t xml:space="preserve">4135867-3</t>
  </si>
  <si>
    <t xml:space="preserve">Magnetischer Tonträger &gt; Magnettonband</t>
  </si>
  <si>
    <t xml:space="preserve">Magnetic Audio Storage Medium &gt; Magnetic Audio Tape</t>
  </si>
  <si>
    <t xml:space="preserve">http://w3id.org/arkumu/information-storage-medium-types/information-storage-medium-type-59</t>
  </si>
  <si>
    <t xml:space="preserve">Open Reel Audiotape</t>
  </si>
  <si>
    <t xml:space="preserve">Spulentonband</t>
  </si>
  <si>
    <t xml:space="preserve">Q544858</t>
  </si>
  <si>
    <t xml:space="preserve">http://pbcore.org/pbcore-controlled-vocabularies/instantiationphysical-audio-vocabulary/#OpenReelAudiotape</t>
  </si>
  <si>
    <t xml:space="preserve">Magnetischer Tonträger &gt; Magnettonband &gt; Spulentonband</t>
  </si>
  <si>
    <t xml:space="preserve">Magnetic Audio Storage Medium &gt; Magnetic Audio Tape &gt; Open Reel Audiotape</t>
  </si>
  <si>
    <t xml:space="preserve">http://w3id.org/arkumu/information-storage-medium-types/information-storage-medium-type-60</t>
  </si>
  <si>
    <t xml:space="preserve">Audio Cassette</t>
  </si>
  <si>
    <t xml:space="preserve">CC,MC</t>
  </si>
  <si>
    <t xml:space="preserve">Kompaktkassette</t>
  </si>
  <si>
    <t xml:space="preserve">Q149757</t>
  </si>
  <si>
    <t xml:space="preserve">4036993-6</t>
  </si>
  <si>
    <t xml:space="preserve">Magnetischer Tonträger &gt; Magnettonband &gt; Kompaktkassette</t>
  </si>
  <si>
    <t xml:space="preserve">Magnetic Audio Storage Medium &gt; Magnetic Audio Tape &gt; Audio Cassette</t>
  </si>
  <si>
    <t xml:space="preserve">http://w3id.org/arkumu/information-storage-medium-types/information-storage-medium-type-61</t>
  </si>
  <si>
    <t xml:space="preserve">Executive Cassette</t>
  </si>
  <si>
    <t xml:space="preserve">Q122763527</t>
  </si>
  <si>
    <t xml:space="preserve">Magnetischer Tonträger &gt; Magnettonband &gt; Executive Cassette</t>
  </si>
  <si>
    <t xml:space="preserve">Magnetic Audio Storage Medium &gt; Magnetic Audio Tape &gt; Executive Cassette</t>
  </si>
  <si>
    <t xml:space="preserve">http://w3id.org/arkumu/information-storage-medium-types/information-storage-medium-type-62</t>
  </si>
  <si>
    <t xml:space="preserve">Mini-Cassette</t>
  </si>
  <si>
    <t xml:space="preserve">Minicassette</t>
  </si>
  <si>
    <t xml:space="preserve">Minikassette</t>
  </si>
  <si>
    <t xml:space="preserve">Q1936845</t>
  </si>
  <si>
    <t xml:space="preserve">http://pbcore.org/pbcore-controlled-vocabularies/instantiationphysical-audio-vocabulary/#MiniCassette</t>
  </si>
  <si>
    <t xml:space="preserve">Magnetischer Tonträger &gt; Magnettonband &gt; Minikassette</t>
  </si>
  <si>
    <t xml:space="preserve">Magnetic Audio Storage Medium &gt; Magnetic Audio Tape &gt; Mini-Cassette</t>
  </si>
  <si>
    <t xml:space="preserve">http://w3id.org/arkumu/information-storage-medium-types/information-storage-medium-type-63</t>
  </si>
  <si>
    <t xml:space="preserve">Microcassette</t>
  </si>
  <si>
    <t xml:space="preserve">MC</t>
  </si>
  <si>
    <t xml:space="preserve">Mikrokassette</t>
  </si>
  <si>
    <t xml:space="preserve">Q1509636</t>
  </si>
  <si>
    <t xml:space="preserve">Magnetischer Tonträger &gt; Magnettonband &gt; Mikrokassette</t>
  </si>
  <si>
    <t xml:space="preserve">Magnetic Audio Storage Medium &gt; Magnetic Audio Tape &gt; Microcassette</t>
  </si>
  <si>
    <t xml:space="preserve">http://w3id.org/arkumu/information-storage-medium-types/information-storage-medium-type-64</t>
  </si>
  <si>
    <t xml:space="preserve">Picocassette</t>
  </si>
  <si>
    <t xml:space="preserve">Q7191037</t>
  </si>
  <si>
    <t xml:space="preserve">Magnetischer Tonträger &gt; Magnettonband &gt; Picocassette</t>
  </si>
  <si>
    <t xml:space="preserve">Magnetic Audio Storage Medium &gt; Magnetic Audio Tape &gt; Picocassette</t>
  </si>
  <si>
    <t xml:space="preserve">http://w3id.org/arkumu/information-storage-medium-types/information-storage-medium-type-65</t>
  </si>
  <si>
    <t xml:space="preserve">Fidelipac</t>
  </si>
  <si>
    <t xml:space="preserve">NAB cartridge</t>
  </si>
  <si>
    <t xml:space="preserve">Q2340980</t>
  </si>
  <si>
    <t xml:space="preserve">Magnetischer Tonträger &gt; Magnettonband &gt; Fidelipac</t>
  </si>
  <si>
    <t xml:space="preserve">Magnetic Audio Storage Medium &gt; Magnetic Audio Tape &gt; Fidelipac</t>
  </si>
  <si>
    <t xml:space="preserve">http://w3id.org/arkumu/information-storage-medium-types/information-storage-medium-type-66</t>
  </si>
  <si>
    <t xml:space="preserve">Stereo-Pak</t>
  </si>
  <si>
    <t xml:space="preserve">4-track Cartridge,4-track Tape</t>
  </si>
  <si>
    <t xml:space="preserve">4-Spur-Kassette</t>
  </si>
  <si>
    <t xml:space="preserve">Q7611194</t>
  </si>
  <si>
    <t xml:space="preserve">Magnetischer Tonträger &gt; Magnettonband &gt; Stereo-Pak</t>
  </si>
  <si>
    <t xml:space="preserve">Magnetic Audio Storage Medium &gt; Magnetic Audio Tape &gt; Stereo-Pak</t>
  </si>
  <si>
    <t xml:space="preserve">http://w3id.org/arkumu/information-storage-medium-types/information-storage-medium-type-67</t>
  </si>
  <si>
    <t xml:space="preserve">8-track Tape</t>
  </si>
  <si>
    <t xml:space="preserve">Stereo 8,Eight-track Cartridge</t>
  </si>
  <si>
    <t xml:space="preserve">8-Spur-Kassette</t>
  </si>
  <si>
    <t xml:space="preserve">Acht-Spur-Kassette</t>
  </si>
  <si>
    <t xml:space="preserve">Q270171</t>
  </si>
  <si>
    <t xml:space="preserve">7690297-3</t>
  </si>
  <si>
    <t xml:space="preserve">http://pbcore.org/pbcore-controlled-vocabularies/instantiationphysical-audio-vocabulary/#8Track</t>
  </si>
  <si>
    <t xml:space="preserve">Magnetischer Tonträger &gt; Magnettonband &gt; 8-Spur-Kassette</t>
  </si>
  <si>
    <t xml:space="preserve">Magnetic Audio Storage Medium &gt; Magnetic Audio Tape &gt; 8-track Tape</t>
  </si>
  <si>
    <t xml:space="preserve">http://w3id.org/arkumu/information-storage-medium-types/information-storage-medium-type-68</t>
  </si>
  <si>
    <t xml:space="preserve">Magnetic Sound Disc</t>
  </si>
  <si>
    <t xml:space="preserve">Astromag</t>
  </si>
  <si>
    <t xml:space="preserve">Magnettonplatte</t>
  </si>
  <si>
    <t xml:space="preserve">Q1416388</t>
  </si>
  <si>
    <t xml:space="preserve">Magnetischer Tonträger &gt; Magnettonplatte</t>
  </si>
  <si>
    <t xml:space="preserve">Magnetic Audio Storage Medium &gt; Magnetic Sound Disc</t>
  </si>
  <si>
    <t xml:space="preserve">http://w3id.org/arkumu/information-storage-medium-types/information-storage-medium-type-69</t>
  </si>
  <si>
    <t xml:space="preserve">Wire Recording</t>
  </si>
  <si>
    <t xml:space="preserve">Tondraht</t>
  </si>
  <si>
    <t xml:space="preserve">Drahtton</t>
  </si>
  <si>
    <t xml:space="preserve">Q116822101</t>
  </si>
  <si>
    <t xml:space="preserve">http://pbcore.org/pbcore-controlled-vocabularies/instantiationphysical-audio-vocabulary/#WireRecording</t>
  </si>
  <si>
    <t xml:space="preserve">Magnetischer Tonträger &gt; Tondraht</t>
  </si>
  <si>
    <t xml:space="preserve">Magnetic Audio Storage Medium &gt; Wire Recording</t>
  </si>
  <si>
    <t xml:space="preserve">http://w3id.org/arkumu/information-storage-medium-types/information-storage-medium-type-70</t>
  </si>
  <si>
    <t xml:space="preserve">Optical Audio Storage Medium</t>
  </si>
  <si>
    <t xml:space="preserve">Optischer Tonträger</t>
  </si>
  <si>
    <t xml:space="preserve">Q123118558</t>
  </si>
  <si>
    <t xml:space="preserve">http://w3id.org/arkumu/information-storage-medium-types/information-storage-medium-type-71</t>
  </si>
  <si>
    <t xml:space="preserve">Optical Sound Film</t>
  </si>
  <si>
    <t xml:space="preserve">Triergon Film,Light Ray Film</t>
  </si>
  <si>
    <t xml:space="preserve">Lichttonfilm</t>
  </si>
  <si>
    <t xml:space="preserve">Triergon-Film</t>
  </si>
  <si>
    <t xml:space="preserve">Q1004803</t>
  </si>
  <si>
    <t xml:space="preserve">Optischer Tonträger &gt; Lichttonfilm</t>
  </si>
  <si>
    <t xml:space="preserve">Optical Audio Storage Medium &gt; Optical Sound Film</t>
  </si>
  <si>
    <t xml:space="preserve">http://w3id.org/arkumu/information-storage-medium-types/information-storage-medium-type-72</t>
  </si>
  <si>
    <t xml:space="preserve">Digital Audio Storage Medium</t>
  </si>
  <si>
    <t xml:space="preserve">Digitaler Tonträger</t>
  </si>
  <si>
    <t xml:space="preserve">Q123118716</t>
  </si>
  <si>
    <t xml:space="preserve">http://w3id.org/arkumu/information-storage-medium-types/information-storage-medium-type-73</t>
  </si>
  <si>
    <t xml:space="preserve">Magneto-digital Audio Storage Medium</t>
  </si>
  <si>
    <t xml:space="preserve">Magneto-digitaler Tonträger</t>
  </si>
  <si>
    <t xml:space="preserve">Q123118830</t>
  </si>
  <si>
    <t xml:space="preserve">Digitaler Tonträger &gt; Magneto-digitaler Tonträger</t>
  </si>
  <si>
    <t xml:space="preserve">Digital Audio Storage Medium &gt; Magneto-digital Audio Storage Medium</t>
  </si>
  <si>
    <t xml:space="preserve">http://w3id.org/arkumu/information-storage-medium-types/information-storage-medium-type-74</t>
  </si>
  <si>
    <t xml:space="preserve">DASH Open Reel Tape</t>
  </si>
  <si>
    <t xml:space="preserve">DASH-Tonband</t>
  </si>
  <si>
    <t xml:space="preserve">Q497444</t>
  </si>
  <si>
    <t xml:space="preserve">Digitaler Tonträger &gt; Magneto-digitaler Tonträger &gt; DASH-Tonband</t>
  </si>
  <si>
    <t xml:space="preserve">Digital Audio Storage Medium &gt; Magneto-digital Audio Storage Medium &gt; DASH Open Reel Tape</t>
  </si>
  <si>
    <t xml:space="preserve">http://w3id.org/arkumu/information-storage-medium-types/information-storage-medium-type-75</t>
  </si>
  <si>
    <t xml:space="preserve">Pro Digi Open Reel Tape</t>
  </si>
  <si>
    <t xml:space="preserve">Pro-Digi-Tonband</t>
  </si>
  <si>
    <t xml:space="preserve">Q7246653</t>
  </si>
  <si>
    <t xml:space="preserve">Digitaler Tonträger &gt; Magneto-digitaler Tonträger &gt; Pro-Digi-Tonband</t>
  </si>
  <si>
    <t xml:space="preserve">Digital Audio Storage Medium &gt; Magneto-digital Audio Storage Medium &gt; Pro Digi Open Reel Tape</t>
  </si>
  <si>
    <t xml:space="preserve">http://w3id.org/arkumu/information-storage-medium-types/information-storage-medium-type-76</t>
  </si>
  <si>
    <t xml:space="preserve">PCM Betamax</t>
  </si>
  <si>
    <t xml:space="preserve">Q123119962</t>
  </si>
  <si>
    <t xml:space="preserve">http://pbcore.org/pbcore-controlled-vocabularies/instantiationphysical-audio-vocabulary/#PCMBetamax</t>
  </si>
  <si>
    <t xml:space="preserve">Digitaler Tonträger &gt; Magneto-digitaler Tonträger &gt; PCM Betamax</t>
  </si>
  <si>
    <t xml:space="preserve">Digital Audio Storage Medium &gt; Magneto-digital Audio Storage Medium &gt; PCM Betamax</t>
  </si>
  <si>
    <t xml:space="preserve">http://w3id.org/arkumu/information-storage-medium-types/information-storage-medium-type-77</t>
  </si>
  <si>
    <t xml:space="preserve">PCM U-Matic</t>
  </si>
  <si>
    <t xml:space="preserve">Q123120037</t>
  </si>
  <si>
    <t xml:space="preserve">http://pbcore.org/pbcore-controlled-vocabularies/instantiationphysical-audio-vocabulary/#PCMUmatic</t>
  </si>
  <si>
    <t xml:space="preserve">Digitaler Tonträger &gt; Magneto-digitaler Tonträger &gt; PCM U-Matic</t>
  </si>
  <si>
    <t xml:space="preserve">Digital Audio Storage Medium &gt; Magneto-digital Audio Storage Medium &gt; PCM U-Matic</t>
  </si>
  <si>
    <t xml:space="preserve">http://w3id.org/arkumu/information-storage-medium-types/information-storage-medium-type-78</t>
  </si>
  <si>
    <t xml:space="preserve">PCM VHS</t>
  </si>
  <si>
    <t xml:space="preserve">Q123120103</t>
  </si>
  <si>
    <t xml:space="preserve">http://pbcore.org/pbcore-controlled-vocabularies/instantiationphysical-audio-vocabulary/#PCMVHS</t>
  </si>
  <si>
    <t xml:space="preserve">Digitaler Tonträger &gt; Magneto-digitaler Tonträger &gt; PCM VHS</t>
  </si>
  <si>
    <t xml:space="preserve">Digital Audio Storage Medium &gt; Magneto-digital Audio Storage Medium &gt; PCM VHS</t>
  </si>
  <si>
    <t xml:space="preserve">http://w3id.org/arkumu/information-storage-medium-types/information-storage-medium-type-79</t>
  </si>
  <si>
    <t xml:space="preserve">DAT</t>
  </si>
  <si>
    <t xml:space="preserve">Q597615</t>
  </si>
  <si>
    <t xml:space="preserve">http://pbcore.org/pbcore-controlled-vocabularies/instantiationphysical-audio-vocabulary/#DAT</t>
  </si>
  <si>
    <t xml:space="preserve">Digitaler Tonträger &gt; Magneto-digitaler Tonträger &gt; DAT</t>
  </si>
  <si>
    <t xml:space="preserve">Digital Audio Storage Medium &gt; Magneto-digital Audio Storage Medium &gt; DAT</t>
  </si>
  <si>
    <t xml:space="preserve">http://w3id.org/arkumu/information-storage-medium-types/information-storage-medium-type-80</t>
  </si>
  <si>
    <t xml:space="preserve">ADAT</t>
  </si>
  <si>
    <t xml:space="preserve">Alesis Digital Audio Tape</t>
  </si>
  <si>
    <t xml:space="preserve">Q959675</t>
  </si>
  <si>
    <t xml:space="preserve">Digitaler Tonträger &gt; Magneto-digitaler Tonträger &gt; ADAT</t>
  </si>
  <si>
    <t xml:space="preserve">Digital Audio Storage Medium &gt; Magneto-digital Audio Storage Medium &gt; ADAT</t>
  </si>
  <si>
    <t xml:space="preserve">http://w3id.org/arkumu/information-storage-medium-types/information-storage-medium-type-81</t>
  </si>
  <si>
    <t xml:space="preserve">DTRS</t>
  </si>
  <si>
    <t xml:space="preserve">Digital Tape Recording System,DARS,DA-88</t>
  </si>
  <si>
    <t xml:space="preserve">Q938907</t>
  </si>
  <si>
    <t xml:space="preserve">http://pbcore.org/pbcore-controlled-vocabularies/instantiationphysical-audio-vocabulary/#DTRS</t>
  </si>
  <si>
    <t xml:space="preserve">Digitaler Tonträger &gt; Magneto-digitaler Tonträger &gt; DTRS</t>
  </si>
  <si>
    <t xml:space="preserve">Digital Audio Storage Medium &gt; Magneto-digital Audio Storage Medium &gt; DTRS</t>
  </si>
  <si>
    <t xml:space="preserve">http://w3id.org/arkumu/information-storage-medium-types/information-storage-medium-type-82</t>
  </si>
  <si>
    <t xml:space="preserve">Digital Compact Cassette</t>
  </si>
  <si>
    <t xml:space="preserve">DCC</t>
  </si>
  <si>
    <t xml:space="preserve">Q598944</t>
  </si>
  <si>
    <t xml:space="preserve">Digitaler Tonträger &gt; Magneto-digitaler Tonträger &gt; Digital Compact Cassette</t>
  </si>
  <si>
    <t xml:space="preserve">Digital Audio Storage Medium &gt; Magneto-digital Audio Storage Medium &gt; Digital Compact Cassette</t>
  </si>
  <si>
    <t xml:space="preserve">http://w3id.org/arkumu/information-storage-medium-types/information-storage-medium-type-83</t>
  </si>
  <si>
    <t xml:space="preserve">NT cassette</t>
  </si>
  <si>
    <t xml:space="preserve">NT Cassette</t>
  </si>
  <si>
    <t xml:space="preserve">NT-Kassette</t>
  </si>
  <si>
    <t xml:space="preserve">Q1961581</t>
  </si>
  <si>
    <t xml:space="preserve">Digitaler Tonträger &gt; Magneto-digitaler Tonträger &gt; NT Cassette</t>
  </si>
  <si>
    <t xml:space="preserve">Digital Audio Storage Medium &gt; Magneto-digital Audio Storage Medium &gt; NT Cassette</t>
  </si>
  <si>
    <t xml:space="preserve">http://w3id.org/arkumu/information-storage-medium-types/information-storage-medium-type-84</t>
  </si>
  <si>
    <t xml:space="preserve">Opto-digital Audio Storage Medium</t>
  </si>
  <si>
    <t xml:space="preserve">Opto-digitaler Tonträger</t>
  </si>
  <si>
    <t xml:space="preserve">Q123120227</t>
  </si>
  <si>
    <t xml:space="preserve">Digitaler Tonträger &gt; Opto-digitaler Tonträger</t>
  </si>
  <si>
    <t xml:space="preserve">Digital Audio Storage Medium &gt; Opto-digital Audio Storage Medium</t>
  </si>
  <si>
    <t xml:space="preserve">http://w3id.org/arkumu/information-storage-medium-types/information-storage-medium-type-85</t>
  </si>
  <si>
    <t xml:space="preserve">Audio CD</t>
  </si>
  <si>
    <t xml:space="preserve">Compact Disc Digital Audio</t>
  </si>
  <si>
    <t xml:space="preserve">Audio-CD</t>
  </si>
  <si>
    <t xml:space="preserve">Q1121020</t>
  </si>
  <si>
    <t xml:space="preserve">4346365-4</t>
  </si>
  <si>
    <t xml:space="preserve">http://pbcore.org/pbcore-controlled-vocabularies/instantiationphysical-audio-vocabulary/#AudioCD</t>
  </si>
  <si>
    <t xml:space="preserve">Digitaler Tonträger &gt; Opto-digitaler Tonträger &gt; Audio-CD</t>
  </si>
  <si>
    <t xml:space="preserve">Digital Audio Storage Medium &gt; Opto-digital Audio Storage Medium &gt; Audio CD</t>
  </si>
  <si>
    <t xml:space="preserve">http://w3id.org/arkumu/information-storage-medium-types/information-storage-medium-type-86</t>
  </si>
  <si>
    <t xml:space="preserve">Compact LaserDisc</t>
  </si>
  <si>
    <t xml:space="preserve">Q123120280</t>
  </si>
  <si>
    <t xml:space="preserve">Digitaler Tonträger &gt; Opto-digitaler Tonträger &gt; Compact LaserDisc</t>
  </si>
  <si>
    <t xml:space="preserve">Digital Audio Storage Medium &gt; Opto-digital Audio Storage Medium &gt; Compact LaserDisc</t>
  </si>
  <si>
    <t xml:space="preserve">http://w3id.org/arkumu/information-storage-medium-types/information-storage-medium-type-87</t>
  </si>
  <si>
    <t xml:space="preserve">Super Audio CD</t>
  </si>
  <si>
    <t xml:space="preserve">SACD,Super Audio Compact Disc</t>
  </si>
  <si>
    <t xml:space="preserve">Q212960</t>
  </si>
  <si>
    <t xml:space="preserve">http://pbcore.org/pbcore-controlled-vocabularies/instantiationphysical-audio-vocabulary/#SuperAudioCD</t>
  </si>
  <si>
    <t xml:space="preserve">Digitaler Tonträger &gt; Opto-digitaler Tonträger &gt; Super Audio CD</t>
  </si>
  <si>
    <t xml:space="preserve">Digital Audio Storage Medium &gt; Opto-digital Audio Storage Medium &gt; Super Audio CD</t>
  </si>
  <si>
    <t xml:space="preserve">http://w3id.org/arkumu/information-storage-medium-types/information-storage-medium-type-88</t>
  </si>
  <si>
    <t xml:space="preserve">DVD-Audio</t>
  </si>
  <si>
    <t xml:space="preserve">DVD-A</t>
  </si>
  <si>
    <t xml:space="preserve">Q117678</t>
  </si>
  <si>
    <t xml:space="preserve">4585129-3</t>
  </si>
  <si>
    <t xml:space="preserve">Digitaler Tonträger &gt; Opto-digitaler Tonträger &gt; DVD-Audio</t>
  </si>
  <si>
    <t xml:space="preserve">Digital Audio Storage Medium &gt; Opto-digital Audio Storage Medium &gt; DVD-Audio</t>
  </si>
  <si>
    <t xml:space="preserve">http://w3id.org/arkumu/information-storage-medium-types/information-storage-medium-type-89</t>
  </si>
  <si>
    <t xml:space="preserve">Blu-ray Audio Disc</t>
  </si>
  <si>
    <t xml:space="preserve">Pure Audio Blu-ray,High Definition Audio Disc,HDAD,High Fidelity Pure Audio</t>
  </si>
  <si>
    <t xml:space="preserve">Q17029503</t>
  </si>
  <si>
    <t xml:space="preserve">Digitaler Tonträger &gt; Opto-digitaler Tonträger &gt; Blu-ray Audio Disc</t>
  </si>
  <si>
    <t xml:space="preserve">Digital Audio Storage Medium &gt; Opto-digital Audio Storage Medium &gt; Blu-ray Audio Disc</t>
  </si>
  <si>
    <t xml:space="preserve">http://w3id.org/arkumu/information-storage-medium-types/information-storage-medium-type-90</t>
  </si>
  <si>
    <t xml:space="preserve">MiniDisc</t>
  </si>
  <si>
    <t xml:space="preserve">MD</t>
  </si>
  <si>
    <t xml:space="preserve">Q275079</t>
  </si>
  <si>
    <t xml:space="preserve">4644982-6</t>
  </si>
  <si>
    <t xml:space="preserve">Digitaler Tonträger &gt; MiniDisc</t>
  </si>
  <si>
    <t xml:space="preserve">Digital Audio Storage Medium &gt; MiniDisc</t>
  </si>
  <si>
    <t xml:space="preserve">http://w3id.org/arkumu/information-storage-medium-types/information-storage-medium-type-91</t>
  </si>
  <si>
    <t xml:space="preserve">Moving Image Film</t>
  </si>
  <si>
    <t xml:space="preserve">Motion Picture Film,Movie Film,Cinematographic Film</t>
  </si>
  <si>
    <t xml:space="preserve">Bewegtbild-Film</t>
  </si>
  <si>
    <t xml:space="preserve">Kino-Filmmaterial</t>
  </si>
  <si>
    <t xml:space="preserve">Q110968856</t>
  </si>
  <si>
    <t xml:space="preserve">http://pbcore.org/pbcore-controlled-vocabularies/instantiationphysical-film-vocabulary/#Film</t>
  </si>
  <si>
    <t xml:space="preserve">http://w3id.org/arkumu/information-storage-medium-types/information-storage-medium-type-92</t>
  </si>
  <si>
    <t xml:space="preserve">8 mm Positive Film</t>
  </si>
  <si>
    <t xml:space="preserve">Normal 8,8 mm Film</t>
  </si>
  <si>
    <t xml:space="preserve">8 mm Positivfilm</t>
  </si>
  <si>
    <t xml:space="preserve">Q270183</t>
  </si>
  <si>
    <t xml:space="preserve">http://pbcore.org/pbcore-controlled-vocabularies/instantiationphysical-film-vocabulary/#8mmFilm</t>
  </si>
  <si>
    <t xml:space="preserve">Bewegtbild-Film &gt; 8 mm Positivfilm</t>
  </si>
  <si>
    <t xml:space="preserve">Moving Image Film &gt; 8 mm Positive Film</t>
  </si>
  <si>
    <t xml:space="preserve">http://w3id.org/arkumu/information-storage-medium-types/information-storage-medium-type-93</t>
  </si>
  <si>
    <t xml:space="preserve">8 mm Negative Film</t>
  </si>
  <si>
    <t xml:space="preserve">8 mm Negativfilm</t>
  </si>
  <si>
    <t xml:space="preserve">Bewegtbild-Film &gt; 8 mm Negativfilm</t>
  </si>
  <si>
    <t xml:space="preserve">Moving Image Film &gt; 8 mm Negative Film</t>
  </si>
  <si>
    <t xml:space="preserve">http://w3id.org/arkumu/information-storage-medium-types/information-storage-medium-type-94</t>
  </si>
  <si>
    <t xml:space="preserve">Super 8 mm Positive Film</t>
  </si>
  <si>
    <t xml:space="preserve">Super 8 mm Film</t>
  </si>
  <si>
    <t xml:space="preserve">Super 8 mm Positivfilm</t>
  </si>
  <si>
    <t xml:space="preserve">Q1412320</t>
  </si>
  <si>
    <t xml:space="preserve">http://pbcore.org/pbcore-controlled-vocabularies/instantiationphysical-film-vocabulary/#Super8mmFilm</t>
  </si>
  <si>
    <t xml:space="preserve">Bewegtbild-Film &gt; Super 8 mm Positivfilm</t>
  </si>
  <si>
    <t xml:space="preserve">Moving Image Film &gt; Super 8 mm Positive Film</t>
  </si>
  <si>
    <t xml:space="preserve">http://w3id.org/arkumu/information-storage-medium-types/information-storage-medium-type-95</t>
  </si>
  <si>
    <t xml:space="preserve">9,5 mm Film</t>
  </si>
  <si>
    <t xml:space="preserve">9.5 mm Film</t>
  </si>
  <si>
    <t xml:space="preserve">Q275007</t>
  </si>
  <si>
    <t xml:space="preserve">http://pbcore.org/pbcore-controlled-vocabularies/instantiationphysical-film-vocabulary/#9andaHalfmmFilm</t>
  </si>
  <si>
    <t xml:space="preserve">Bewegtbild-Film &gt; 9.5 mm Film</t>
  </si>
  <si>
    <t xml:space="preserve">Moving Image Film &gt; 9.5 mm Film</t>
  </si>
  <si>
    <t xml:space="preserve">http://w3id.org/arkumu/information-storage-medium-types/information-storage-medium-type-96</t>
  </si>
  <si>
    <t xml:space="preserve">16 mm Positive Film</t>
  </si>
  <si>
    <t xml:space="preserve">16 mm Film</t>
  </si>
  <si>
    <t xml:space="preserve">16 mm Positivfilm</t>
  </si>
  <si>
    <t xml:space="preserve">Q194383</t>
  </si>
  <si>
    <t xml:space="preserve">http://pbcore.org/pbcore-controlled-vocabularies/instantiationphysical-film-vocabulary/#16mmFilm</t>
  </si>
  <si>
    <t xml:space="preserve">Bewegtbild-Film &gt; 16 mm Positivfilm</t>
  </si>
  <si>
    <t xml:space="preserve">Moving Image Film &gt; 16 mm Positive Film</t>
  </si>
  <si>
    <t xml:space="preserve">http://w3id.org/arkumu/information-storage-medium-types/information-storage-medium-type-97</t>
  </si>
  <si>
    <t xml:space="preserve">16 mm Negative Film</t>
  </si>
  <si>
    <t xml:space="preserve">16 mm Negativfilm</t>
  </si>
  <si>
    <t xml:space="preserve">Bewegtbild-Film &gt; 16 mm Negativfilm</t>
  </si>
  <si>
    <t xml:space="preserve">Moving Image Film &gt; 16 mm Negative Film</t>
  </si>
  <si>
    <t xml:space="preserve">http://w3id.org/arkumu/information-storage-medium-types/information-storage-medium-type-98</t>
  </si>
  <si>
    <t xml:space="preserve">Super 16 mm Positive Film</t>
  </si>
  <si>
    <t xml:space="preserve">Super 16 mm Film</t>
  </si>
  <si>
    <t xml:space="preserve">Super 16 mm Positivfilm</t>
  </si>
  <si>
    <t xml:space="preserve">Q2713357</t>
  </si>
  <si>
    <t xml:space="preserve">http://pbcore.org/pbcore-controlled-vocabularies/instantiationphysical-film-vocabulary/#Super16mmFilm</t>
  </si>
  <si>
    <t xml:space="preserve">Bewegtbild-Film &gt; Super 16 mm Positivfilm</t>
  </si>
  <si>
    <t xml:space="preserve">Moving Image Film &gt; Super 16 mm Positive Film</t>
  </si>
  <si>
    <t xml:space="preserve">http://w3id.org/arkumu/information-storage-medium-types/information-storage-medium-type-99</t>
  </si>
  <si>
    <t xml:space="preserve">Super 16 mm Negative Film</t>
  </si>
  <si>
    <t xml:space="preserve">Super 16 mm Negativfilm</t>
  </si>
  <si>
    <t xml:space="preserve">Bewegtbild-Film &gt; Super 16 mm Negativfilm</t>
  </si>
  <si>
    <t xml:space="preserve">Moving Image Film &gt; Super 16 mm Negative Film</t>
  </si>
  <si>
    <t xml:space="preserve">http://w3id.org/arkumu/information-storage-medium-types/information-storage-medium-type-100</t>
  </si>
  <si>
    <t xml:space="preserve">22 mm Positive Film</t>
  </si>
  <si>
    <t xml:space="preserve">22 mm Film</t>
  </si>
  <si>
    <t xml:space="preserve">22 mm Positivfilm</t>
  </si>
  <si>
    <t xml:space="preserve">Q122811318</t>
  </si>
  <si>
    <t xml:space="preserve">http://pbcore.org/pbcore-controlled-vocabularies/instantiationphysical-film-vocabulary/#22mmFilm</t>
  </si>
  <si>
    <t xml:space="preserve">Bewegtbild-Film &gt; 22 mm Positivfilm</t>
  </si>
  <si>
    <t xml:space="preserve">Moving Image Film &gt; 22 mm Positive Film</t>
  </si>
  <si>
    <t xml:space="preserve">http://w3id.org/arkumu/information-storage-medium-types/information-storage-medium-type-101</t>
  </si>
  <si>
    <t xml:space="preserve">28 mm Positive Film</t>
  </si>
  <si>
    <t xml:space="preserve">28 mm Film</t>
  </si>
  <si>
    <t xml:space="preserve">28 mm Positivfilm</t>
  </si>
  <si>
    <t xml:space="preserve">Q122811337</t>
  </si>
  <si>
    <t xml:space="preserve">http://pbcore.org/pbcore-controlled-vocabularies/instantiationphysical-film-vocabulary/#28mmFilm</t>
  </si>
  <si>
    <t xml:space="preserve">Bewegtbild-Film &gt; 28 mm Positivfilm</t>
  </si>
  <si>
    <t xml:space="preserve">Moving Image Film &gt; 28 mm Positive Film</t>
  </si>
  <si>
    <t xml:space="preserve">http://w3id.org/arkumu/information-storage-medium-types/information-storage-medium-type-102</t>
  </si>
  <si>
    <t xml:space="preserve">35 mm Positive Film</t>
  </si>
  <si>
    <t xml:space="preserve">35 mm Film</t>
  </si>
  <si>
    <t xml:space="preserve">35 mm Positivfilm</t>
  </si>
  <si>
    <t xml:space="preserve">Q226528</t>
  </si>
  <si>
    <t xml:space="preserve">http://pbcore.org/pbcore-controlled-vocabularies/instantiationphysical-film-vocabulary/#35mmFilm</t>
  </si>
  <si>
    <t xml:space="preserve">Bewegtbild-Film &gt; 35 mm Positivfilm</t>
  </si>
  <si>
    <t xml:space="preserve">Moving Image Film &gt; 35 mm Positive Film</t>
  </si>
  <si>
    <t xml:space="preserve">http://w3id.org/arkumu/information-storage-medium-types/information-storage-medium-type-103</t>
  </si>
  <si>
    <t xml:space="preserve">35 mm Negative Film</t>
  </si>
  <si>
    <t xml:space="preserve">35 mm Negativfilm</t>
  </si>
  <si>
    <t xml:space="preserve">Bewegtbild-Film &gt; 35 mm Negativfilm</t>
  </si>
  <si>
    <t xml:space="preserve">Moving Image Film &gt; 35 mm Negative Film</t>
  </si>
  <si>
    <t xml:space="preserve">http://w3id.org/arkumu/information-storage-medium-types/information-storage-medium-type-104</t>
  </si>
  <si>
    <t xml:space="preserve">70 mm Positive Film</t>
  </si>
  <si>
    <t xml:space="preserve">70 mm Film</t>
  </si>
  <si>
    <t xml:space="preserve">70 mm Positivfilm</t>
  </si>
  <si>
    <t xml:space="preserve">Q261242</t>
  </si>
  <si>
    <t xml:space="preserve">http://pbcore.org/pbcore-controlled-vocabularies/instantiationphysical-film-vocabulary/#70mmFilm</t>
  </si>
  <si>
    <t xml:space="preserve">Bewegtbild-Film &gt; 70 mm Positivfilm</t>
  </si>
  <si>
    <t xml:space="preserve">Moving Image Film &gt; 70 mm Positive Film</t>
  </si>
  <si>
    <t xml:space="preserve">http://w3id.org/arkumu/information-storage-medium-types/information-storage-medium-type-105</t>
  </si>
  <si>
    <t xml:space="preserve">70 mm Negative Film</t>
  </si>
  <si>
    <t xml:space="preserve">70 mm Negativfilm</t>
  </si>
  <si>
    <t xml:space="preserve">Bewegtbild-Film &gt; 70 mm Negativfilm</t>
  </si>
  <si>
    <t xml:space="preserve">Moving Image Film &gt; 70 mm Negative Film</t>
  </si>
  <si>
    <t xml:space="preserve">http://w3id.org/arkumu/information-storage-medium-types/information-storage-medium-type-106</t>
  </si>
  <si>
    <t xml:space="preserve">Photographic Film</t>
  </si>
  <si>
    <t xml:space="preserve">Fotografischer Film</t>
  </si>
  <si>
    <t xml:space="preserve">Q6293</t>
  </si>
  <si>
    <t xml:space="preserve">http://w3id.org/arkumu/information-storage-medium-types/information-storage-medium-type-107</t>
  </si>
  <si>
    <t xml:space="preserve">APS Film</t>
  </si>
  <si>
    <t xml:space="preserve">APS-Film</t>
  </si>
  <si>
    <t xml:space="preserve">Q15781213</t>
  </si>
  <si>
    <t xml:space="preserve">Fotografischer Film &gt; APS-Film</t>
  </si>
  <si>
    <t xml:space="preserve">Photographic Film &gt; APS Film</t>
  </si>
  <si>
    <t xml:space="preserve">http://w3id.org/arkumu/information-storage-medium-types/information-storage-medium-type-108</t>
  </si>
  <si>
    <t xml:space="preserve">35 mm Photo Film</t>
  </si>
  <si>
    <t xml:space="preserve">135 Film,Small Format Film</t>
  </si>
  <si>
    <t xml:space="preserve">Kleinbildfilm</t>
  </si>
  <si>
    <t xml:space="preserve">Q1051557</t>
  </si>
  <si>
    <t xml:space="preserve">Fotografischer Film &gt; Kleinbildfilm</t>
  </si>
  <si>
    <t xml:space="preserve">Photographic Film &gt; 35 mm Photo Film</t>
  </si>
  <si>
    <t xml:space="preserve">http://w3id.org/arkumu/information-storage-medium-types/information-storage-medium-type-109</t>
  </si>
  <si>
    <t xml:space="preserve">35 mm Reversal Photographic Film</t>
  </si>
  <si>
    <t xml:space="preserve">35 mm Slide Film</t>
  </si>
  <si>
    <t xml:space="preserve">Diapositiv-Kleinbildfilm</t>
  </si>
  <si>
    <t xml:space="preserve">Umkehr-Kleinbildfilm</t>
  </si>
  <si>
    <t xml:space="preserve">Q166816</t>
  </si>
  <si>
    <t xml:space="preserve">Fotografischer Film &gt; Kleinbildfilm &gt; Diapositiv-Kleinbildfilm</t>
  </si>
  <si>
    <t xml:space="preserve">Photographic Film &gt; 35 mm Photo Film &gt; 35 mm Reversal Photographic Film</t>
  </si>
  <si>
    <t xml:space="preserve">http://w3id.org/arkumu/information-storage-medium-types/information-storage-medium-type-110</t>
  </si>
  <si>
    <t xml:space="preserve">35 mm Negative Photographic Film</t>
  </si>
  <si>
    <t xml:space="preserve">Negativ-Kleinbildfilm</t>
  </si>
  <si>
    <t xml:space="preserve">Q595597</t>
  </si>
  <si>
    <t xml:space="preserve">Fotografischer Film &gt; Kleinbildfilm &gt; Negativ-Kleinbildfilm</t>
  </si>
  <si>
    <t xml:space="preserve">Photographic Film &gt; 35 mm Photo Film &gt; 35 mm Negative Photographic Film</t>
  </si>
  <si>
    <t xml:space="preserve">http://w3id.org/arkumu/information-storage-medium-types/information-storage-medium-type-111</t>
  </si>
  <si>
    <t xml:space="preserve">35 mm Black-and-White Photographic Film</t>
  </si>
  <si>
    <t xml:space="preserve">Schwarzweiß-Kleinbildfilm</t>
  </si>
  <si>
    <t xml:space="preserve">Q2254548</t>
  </si>
  <si>
    <t xml:space="preserve">Fotografischer Film &gt; Kleinbildfilm &gt; Schwarzweiß-Kleinbildfilm</t>
  </si>
  <si>
    <t xml:space="preserve">Photographic Film &gt; 35 mm Photo Film &gt; 35 mm Black-and-White Photographic Film</t>
  </si>
  <si>
    <t xml:space="preserve">http://w3id.org/arkumu/information-storage-medium-types/information-storage-medium-type-112</t>
  </si>
  <si>
    <t xml:space="preserve">Medium Format</t>
  </si>
  <si>
    <t xml:space="preserve">Mittelformatfilm</t>
  </si>
  <si>
    <t xml:space="preserve">Q1146074</t>
  </si>
  <si>
    <t xml:space="preserve">Fotografischer Film &gt; Mittelformatfilm</t>
  </si>
  <si>
    <t xml:space="preserve">Photographic Film &gt; Medium Format</t>
  </si>
  <si>
    <t xml:space="preserve">http://w3id.org/arkumu/information-storage-medium-types/information-storage-medium-type-113</t>
  </si>
  <si>
    <t xml:space="preserve">Medium Format Reversal Film</t>
  </si>
  <si>
    <t xml:space="preserve">Diapositiv-Mittelformatfilm</t>
  </si>
  <si>
    <t xml:space="preserve">Fotografischer Film &gt; Mittelformatfilm &gt; Diapositiv-Mittelformatfilm</t>
  </si>
  <si>
    <t xml:space="preserve">Photographic Film &gt; Medium Format &gt; Medium Format Reversal Film</t>
  </si>
  <si>
    <t xml:space="preserve">http://w3id.org/arkumu/information-storage-medium-types/information-storage-medium-type-114</t>
  </si>
  <si>
    <t xml:space="preserve">Medium Format Negative Film</t>
  </si>
  <si>
    <t xml:space="preserve">Negativ-Mittelformatfilm</t>
  </si>
  <si>
    <t xml:space="preserve">Fotografischer Film &gt; Mittelformatfilm &gt; Negativ-Mittelformatfilm</t>
  </si>
  <si>
    <t xml:space="preserve">Photographic Film &gt; Medium Format &gt; Medium Format Negative Film</t>
  </si>
  <si>
    <t xml:space="preserve">http://w3id.org/arkumu/information-storage-medium-types/information-storage-medium-type-115</t>
  </si>
  <si>
    <t xml:space="preserve">Medium Format Black-and-White Film</t>
  </si>
  <si>
    <t xml:space="preserve">Schwarzweiß-Mittelformatfilm</t>
  </si>
  <si>
    <t xml:space="preserve">Fotografischer Film &gt; Mittelformatfilm &gt; Schwarzweiß-Mittelformatfilm</t>
  </si>
  <si>
    <t xml:space="preserve">Photographic Film &gt; Medium Format &gt; Medium Format Black-and-White Film</t>
  </si>
  <si>
    <t xml:space="preserve">http://w3id.org/arkumu/information-storage-medium-types/information-storage-medium-type-116</t>
  </si>
  <si>
    <t xml:space="preserve">Large Format</t>
  </si>
  <si>
    <t xml:space="preserve">Planfilm</t>
  </si>
  <si>
    <t xml:space="preserve">Großformatfilm</t>
  </si>
  <si>
    <t xml:space="preserve">Q1189460</t>
  </si>
  <si>
    <t xml:space="preserve">Fotografischer Film &gt; Großformatfilm</t>
  </si>
  <si>
    <t xml:space="preserve">Photographic Film &gt; Large Format</t>
  </si>
  <si>
    <t xml:space="preserve">http://w3id.org/arkumu/information-storage-medium-types/information-storage-medium-type-117</t>
  </si>
  <si>
    <t xml:space="preserve">Microform</t>
  </si>
  <si>
    <t xml:space="preserve">Mikroform</t>
  </si>
  <si>
    <t xml:space="preserve">Q830450</t>
  </si>
  <si>
    <t xml:space="preserve">http://w3id.org/arkumu/information-storage-medium-types/information-storage-medium-type-118</t>
  </si>
  <si>
    <t xml:space="preserve">Mikrofiche</t>
  </si>
  <si>
    <t xml:space="preserve">Mikroplanfilm</t>
  </si>
  <si>
    <t xml:space="preserve">Q2368076</t>
  </si>
  <si>
    <t xml:space="preserve">Mikroform &gt; Mikroplanfilm</t>
  </si>
  <si>
    <t xml:space="preserve">Microform &gt; Mikrofiche</t>
  </si>
  <si>
    <t xml:space="preserve">http://w3id.org/arkumu/information-storage-medium-types/information-storage-medium-type-119</t>
  </si>
  <si>
    <t xml:space="preserve">Microfilm</t>
  </si>
  <si>
    <t xml:space="preserve">Mikrofilm</t>
  </si>
  <si>
    <t xml:space="preserve">Q12498524</t>
  </si>
  <si>
    <t xml:space="preserve">Mikroform &gt; Mikrofilm</t>
  </si>
  <si>
    <t xml:space="preserve">Microform &gt; Microfilm</t>
  </si>
  <si>
    <t xml:space="preserve">http://w3id.org/arkumu/information-storage-medium-types/information-storage-medium-type-120</t>
  </si>
  <si>
    <t xml:space="preserve">Optical Storage Medium</t>
  </si>
  <si>
    <t xml:space="preserve">Optischer Datenträger</t>
  </si>
  <si>
    <t xml:space="preserve">Q2248059</t>
  </si>
  <si>
    <t xml:space="preserve">http://w3id.org/arkumu/information-storage-medium-types/information-storage-medium-type-121</t>
  </si>
  <si>
    <t xml:space="preserve">Data DVD</t>
  </si>
  <si>
    <t xml:space="preserve">Data DVD+R,Data DVD+R DL,Data DVD-R,Data DVD-RW,Data DVD+RW</t>
  </si>
  <si>
    <t xml:space="preserve">Daten-DVD</t>
  </si>
  <si>
    <t xml:space="preserve">Optischer Datenträger &gt; Daten-DVD</t>
  </si>
  <si>
    <t xml:space="preserve">Optical Storage Medium &gt; Data DVD</t>
  </si>
  <si>
    <t xml:space="preserve">http://w3id.org/arkumu/information-storage-medium-types/information-storage-medium-type-122</t>
  </si>
  <si>
    <t xml:space="preserve">Data Blu-ray</t>
  </si>
  <si>
    <t xml:space="preserve">BD-R ,BD-RE</t>
  </si>
  <si>
    <t xml:space="preserve">Daten-Blu-ray</t>
  </si>
  <si>
    <t xml:space="preserve">Daten-BD</t>
  </si>
  <si>
    <t xml:space="preserve">Optischer Datenträger &gt; Daten-Blu-ray</t>
  </si>
  <si>
    <t xml:space="preserve">Optical Storage Medium &gt; Data Blu-ray</t>
  </si>
  <si>
    <t xml:space="preserve">http://w3id.org/arkumu/information-storage-medium-types/information-storage-medium-type-123</t>
  </si>
  <si>
    <t xml:space="preserve">M-Disc</t>
  </si>
  <si>
    <t xml:space="preserve">Q15727650</t>
  </si>
  <si>
    <t xml:space="preserve">Optischer Datenträger &gt; M-Disc</t>
  </si>
  <si>
    <t xml:space="preserve">Optical Storage Medium &gt; M-Disc</t>
  </si>
  <si>
    <t xml:space="preserve">http://w3id.org/arkumu/information-storage-medium-types/information-storage-medium-type-124</t>
  </si>
  <si>
    <t xml:space="preserve">Data CD</t>
  </si>
  <si>
    <t xml:space="preserve">CD-R,CD+R,CD-RW</t>
  </si>
  <si>
    <t xml:space="preserve">Daten-CD</t>
  </si>
  <si>
    <t xml:space="preserve">Q7982</t>
  </si>
  <si>
    <t xml:space="preserve">Optischer Datenträger &gt; Daten-CD</t>
  </si>
  <si>
    <t xml:space="preserve">Optical Storage Medium &gt; Data CD</t>
  </si>
  <si>
    <t xml:space="preserve">http://w3id.org/arkumu/information-storage-medium-types/information-storage-medium-type-125</t>
  </si>
  <si>
    <t xml:space="preserve">Magnetic Storage Medium</t>
  </si>
  <si>
    <t xml:space="preserve">Magnetischer Datenträger</t>
  </si>
  <si>
    <t xml:space="preserve">Q1364527</t>
  </si>
  <si>
    <t xml:space="preserve">http://w3id.org/arkumu/information-storage-medium-types/information-storage-medium-type-126</t>
  </si>
  <si>
    <t xml:space="preserve">3,5" Floppy Disk</t>
  </si>
  <si>
    <t xml:space="preserve">3.5 Inch Floppy Disk</t>
  </si>
  <si>
    <t xml:space="preserve">3,5" Diskette</t>
  </si>
  <si>
    <t xml:space="preserve">3,5 Zoll Diskette</t>
  </si>
  <si>
    <t xml:space="preserve">Q37753524</t>
  </si>
  <si>
    <t xml:space="preserve">Magnetischer Datenträger &gt; 3,5" Diskette</t>
  </si>
  <si>
    <t xml:space="preserve">Magnetic Storage Medium &gt; 3,5" Floppy Disk</t>
  </si>
  <si>
    <t xml:space="preserve">http://w3id.org/arkumu/information-storage-medium-types/information-storage-medium-type-127</t>
  </si>
  <si>
    <t xml:space="preserve">5,25" Floppy Disk</t>
  </si>
  <si>
    <t xml:space="preserve">5.25 Inch Floppy Disk</t>
  </si>
  <si>
    <t xml:space="preserve">5,25" Diskette</t>
  </si>
  <si>
    <t xml:space="preserve">5,25 Zoll Diskette</t>
  </si>
  <si>
    <t xml:space="preserve">Q55194959</t>
  </si>
  <si>
    <t xml:space="preserve">Magnetischer Datenträger &gt; 5,25" Diskette</t>
  </si>
  <si>
    <t xml:space="preserve">Magnetic Storage Medium &gt; 5,25" Floppy Disk</t>
  </si>
  <si>
    <t xml:space="preserve">http://w3id.org/arkumu/information-storage-medium-types/information-storage-medium-type-128</t>
  </si>
  <si>
    <t xml:space="preserve">HD</t>
  </si>
  <si>
    <t xml:space="preserve">HDD,Hard Disk</t>
  </si>
  <si>
    <t xml:space="preserve">Festplatte</t>
  </si>
  <si>
    <t xml:space="preserve">Q4439</t>
  </si>
  <si>
    <t xml:space="preserve">4192018-1</t>
  </si>
  <si>
    <t xml:space="preserve">Magnetischer Datenträger &gt; HD</t>
  </si>
  <si>
    <t xml:space="preserve">Magnetic Storage Medium &gt; HD</t>
  </si>
  <si>
    <t xml:space="preserve">http://w3id.org/arkumu/information-storage-medium-types/information-storage-medium-type-129</t>
  </si>
  <si>
    <t xml:space="preserve">Solid State Storage Medium</t>
  </si>
  <si>
    <t xml:space="preserve">Festkörper-Datenträger</t>
  </si>
  <si>
    <t xml:space="preserve">Q19280237</t>
  </si>
  <si>
    <t xml:space="preserve">http://w3id.org/arkumu/information-storage-medium-types/information-storage-medium-type-130</t>
  </si>
  <si>
    <t xml:space="preserve">SSD</t>
  </si>
  <si>
    <t xml:space="preserve">Solid State Storage</t>
  </si>
  <si>
    <t xml:space="preserve">Solid-State-Speicher</t>
  </si>
  <si>
    <t xml:space="preserve">Q487343</t>
  </si>
  <si>
    <t xml:space="preserve">Festkörper-Datenträger &gt; SSD</t>
  </si>
  <si>
    <t xml:space="preserve">Solid State Storage Medium &gt; SSD</t>
  </si>
  <si>
    <t xml:space="preserve">http://w3id.org/arkumu/information-storage-medium-types/information-storage-medium-type-131</t>
  </si>
  <si>
    <t xml:space="preserve">USB Flash Drive</t>
  </si>
  <si>
    <t xml:space="preserve">Thumb Drive,USB Thumb Drive,Flash Memory</t>
  </si>
  <si>
    <t xml:space="preserve">USB-Stick</t>
  </si>
  <si>
    <t xml:space="preserve">Q1647694</t>
  </si>
  <si>
    <t xml:space="preserve">4770596-6</t>
  </si>
  <si>
    <t xml:space="preserve">Festkörper-Datenträger &gt; USB-Stick</t>
  </si>
  <si>
    <t xml:space="preserve">Solid State Storage Medium &gt; USB Flash Drive</t>
  </si>
  <si>
    <t xml:space="preserve">http://w3id.org/arkumu/information-storage-medium-types/information-storage-medium-type-132</t>
  </si>
  <si>
    <t xml:space="preserve">Text Medium</t>
  </si>
  <si>
    <t xml:space="preserve">Record</t>
  </si>
  <si>
    <t xml:space="preserve">Schriftstück</t>
  </si>
  <si>
    <t xml:space="preserve">Buch,Publikation,Akte,Brief,Notiz,Beleg,Formular,Urkunde,technische Zeichnung,Dokument</t>
  </si>
  <si>
    <t xml:space="preserve">Q49848</t>
  </si>
  <si>
    <t xml:space="preserve">4180009-6</t>
  </si>
  <si>
    <t xml:space="preserve">http://w3id.org/arkumu/information-storage-medium-types/information-storage-medium-type-133</t>
  </si>
  <si>
    <t xml:space="preserve">Periodical</t>
  </si>
  <si>
    <t xml:space="preserve">Periodikum</t>
  </si>
  <si>
    <t xml:space="preserve">Q1002697</t>
  </si>
  <si>
    <t xml:space="preserve">Schriftstück &gt; Periodikum</t>
  </si>
  <si>
    <t xml:space="preserve">Text Medium &gt; Periodical</t>
  </si>
  <si>
    <t xml:space="preserve">http://w3id.org/arkumu/information-storage-medium-types/information-storage-medium-type-134</t>
  </si>
  <si>
    <t xml:space="preserve">Monograph</t>
  </si>
  <si>
    <t xml:space="preserve">Monografie</t>
  </si>
  <si>
    <t xml:space="preserve">Q193495</t>
  </si>
  <si>
    <t xml:space="preserve">4454906-4</t>
  </si>
  <si>
    <t xml:space="preserve">Schriftstück &gt; Monografie</t>
  </si>
  <si>
    <t xml:space="preserve">Text Medium &gt; Monograph</t>
  </si>
  <si>
    <t xml:space="preserve">http://w3id.org/arkumu/information-storage-medium-types/information-storage-medium-type-135</t>
  </si>
  <si>
    <t xml:space="preserve">Musical Notation</t>
  </si>
  <si>
    <t xml:space="preserve">Musiknotation</t>
  </si>
  <si>
    <t xml:space="preserve">Q233861</t>
  </si>
  <si>
    <t xml:space="preserve">Schriftstück &gt; Musiknotation</t>
  </si>
  <si>
    <t xml:space="preserve">Text Medium &gt; Musical Notation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</si>
</sst>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9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theme="1"/>
      <name val="Ubuntu Sans"/>
      <family val="2"/>
      <charset val="1"/>
    </font>
    <font>
      <sz val="10"/>
      <name val="Ubuntu Sans"/>
      <family val="2"/>
      <charset val="1"/>
    </font>
    <font>
      <b val="true"/>
      <sz val="10"/>
      <name val="Ubuntu Sans"/>
      <family val="2"/>
      <charset val="1"/>
    </font>
    <font>
      <b val="true"/>
      <sz val="10"/>
      <name val="Arial"/>
      <family val="2"/>
      <charset val="1"/>
    </font>
    <font>
      <b val="true"/>
      <sz val="10"/>
      <name val="Calibri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D4EA6B"/>
        <bgColor rgb="FFCCFFCC"/>
      </patternFill>
    </fill>
    <fill>
      <patternFill patternType="solid">
        <fgColor rgb="FFFFD8CE"/>
        <bgColor rgb="FFDDDDDD"/>
      </patternFill>
    </fill>
    <fill>
      <patternFill patternType="solid">
        <fgColor rgb="FFDDDDDD"/>
        <bgColor rgb="FFFFD8CE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5" fillId="3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5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left" vertical="top" textRotation="0" wrapText="false" indent="0" shrinkToFit="false"/>
      <protection locked="true" hidden="false"/>
    </xf>
    <xf numFmtId="165" fontId="5" fillId="0" borderId="0" xfId="0" applyFont="true" applyBorder="false" applyAlignment="true" applyProtection="true">
      <alignment horizontal="left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D4EA6B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DDDDDD"/>
          <bgColor rgb="FF000000"/>
        </patternFill>
      </fill>
    </dxf>
    <dxf>
      <fill>
        <patternFill patternType="solid">
          <fgColor rgb="FFFFD8CE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D4EA6B"/>
      <rgbColor rgb="FF99CCFF"/>
      <rgbColor rgb="FFFF99CC"/>
      <rgbColor rgb="FFCC99FF"/>
      <rgbColor rgb="FFFFD8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<Relationship Id="rId5" Type="http://schemas.openxmlformats.org/officeDocument/2006/relationships/customXml" Target="../customXml/item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Q149"/>
  <sheetViews>
    <sheetView showFormulas="false" showGridLines="true" showRowColHeaders="true" showZeros="true" rightToLeft="false" tabSelected="true" showOutlineSymbols="true" defaultGridColor="true" view="normal" topLeftCell="A1" colorId="64" zoomScale="95" zoomScaleNormal="95" zoomScalePageLayoutView="100" workbookViewId="0">
      <selection pane="topLeft" activeCell="A12" activeCellId="0" sqref="A12"/>
    </sheetView>
  </sheetViews>
  <sheetFormatPr defaultColWidth="9.00390625" defaultRowHeight="14.25" customHeight="true" zeroHeight="false" outlineLevelRow="0" outlineLevelCol="0"/>
  <cols>
    <col collapsed="false" customWidth="true" hidden="false" outlineLevel="0" max="1" min="1" style="1" width="32.11"/>
    <col collapsed="false" customWidth="true" hidden="false" outlineLevel="0" max="2" min="2" style="1" width="13.71"/>
    <col collapsed="false" customWidth="true" hidden="false" outlineLevel="0" max="3" min="3" style="2" width="21.49"/>
    <col collapsed="false" customWidth="true" hidden="false" outlineLevel="0" max="4" min="4" style="1" width="50"/>
    <col collapsed="false" customWidth="true" hidden="false" outlineLevel="0" max="5" min="5" style="1" width="42.05"/>
    <col collapsed="false" customWidth="true" hidden="false" outlineLevel="0" max="6" min="6" style="1" width="38.29"/>
    <col collapsed="false" customWidth="true" hidden="false" outlineLevel="0" max="7" min="7" style="1" width="36.01"/>
    <col collapsed="false" customWidth="true" hidden="false" outlineLevel="0" max="8" min="8" style="1" width="28.43"/>
    <col collapsed="false" customWidth="true" hidden="false" outlineLevel="0" max="9" min="9" style="1" width="45.06"/>
    <col collapsed="false" customWidth="true" hidden="false" outlineLevel="0" max="11" min="10" style="1" width="27.86"/>
    <col collapsed="false" customWidth="true" hidden="false" outlineLevel="0" max="12" min="12" style="1" width="25.14"/>
    <col collapsed="false" customWidth="true" hidden="false" outlineLevel="0" max="13" min="13" style="1" width="50.72"/>
    <col collapsed="false" customWidth="true" hidden="false" outlineLevel="0" max="14" min="14" style="1" width="106.91"/>
    <col collapsed="false" customWidth="true" hidden="false" outlineLevel="0" max="15" min="15" style="1" width="55.06"/>
    <col collapsed="false" customWidth="true" hidden="false" outlineLevel="0" max="16" min="16" style="1" width="45.06"/>
    <col collapsed="false" customWidth="false" hidden="false" outlineLevel="0" max="17" min="17" style="1" width="9"/>
    <col collapsed="false" customWidth="false" hidden="false" outlineLevel="0" max="16384" min="20" style="1" width="9"/>
  </cols>
  <sheetData>
    <row r="1" customFormat="false" ht="35.05" hidden="false" customHeight="false" outlineLevel="0" collapsed="false">
      <c r="A1" s="3" t="s">
        <v>0</v>
      </c>
      <c r="B1" s="4" t="s">
        <v>1</v>
      </c>
      <c r="D1" s="5"/>
      <c r="E1" s="4"/>
      <c r="F1" s="6" t="s">
        <v>2</v>
      </c>
      <c r="O1" s="7" t="s">
        <v>3</v>
      </c>
      <c r="P1" s="7" t="s">
        <v>3</v>
      </c>
    </row>
    <row r="2" customFormat="false" ht="14.25" hidden="false" customHeight="false" outlineLevel="0" collapsed="false">
      <c r="A2" s="3" t="s">
        <v>4</v>
      </c>
      <c r="B2" s="8" t="s">
        <v>5</v>
      </c>
      <c r="D2" s="4"/>
      <c r="E2" s="4"/>
      <c r="F2" s="9" t="s">
        <v>6</v>
      </c>
    </row>
    <row r="3" customFormat="false" ht="14.25" hidden="false" customHeight="false" outlineLevel="0" collapsed="false">
      <c r="A3" s="3" t="s">
        <v>7</v>
      </c>
      <c r="B3" s="8" t="s">
        <v>8</v>
      </c>
      <c r="D3" s="4"/>
      <c r="E3" s="5"/>
      <c r="F3" s="10" t="s">
        <v>9</v>
      </c>
    </row>
    <row r="4" customFormat="false" ht="14.25" hidden="false" customHeight="false" outlineLevel="0" collapsed="false">
      <c r="A4" s="3" t="s">
        <v>10</v>
      </c>
      <c r="B4" s="4" t="s">
        <v>11</v>
      </c>
      <c r="C4" s="4" t="str">
        <f aca="false">CONCATENATE($B$1, "/")</f>
        <v>http://w3id.org/arkumu/information-storage-medium-types/</v>
      </c>
      <c r="D4" s="5"/>
      <c r="E4" s="4"/>
      <c r="F4" s="4"/>
    </row>
    <row r="5" customFormat="false" ht="14.25" hidden="false" customHeight="false" outlineLevel="0" collapsed="false">
      <c r="A5" s="3" t="s">
        <v>12</v>
      </c>
      <c r="B5" s="11" t="s">
        <v>13</v>
      </c>
      <c r="D5" s="4"/>
      <c r="E5" s="4"/>
      <c r="F5" s="4"/>
    </row>
    <row r="6" customFormat="false" ht="14.25" hidden="false" customHeight="false" outlineLevel="0" collapsed="false">
      <c r="A6" s="3" t="s">
        <v>14</v>
      </c>
      <c r="B6" s="4" t="s">
        <v>15</v>
      </c>
      <c r="D6" s="4"/>
      <c r="E6" s="4"/>
      <c r="F6" s="4"/>
    </row>
    <row r="7" customFormat="false" ht="14.25" hidden="false" customHeight="false" outlineLevel="0" collapsed="false">
      <c r="A7" s="3" t="s">
        <v>16</v>
      </c>
      <c r="B7" s="4" t="s">
        <v>17</v>
      </c>
      <c r="D7" s="4"/>
      <c r="E7" s="4"/>
      <c r="F7" s="4"/>
    </row>
    <row r="8" customFormat="false" ht="14.25" hidden="false" customHeight="false" outlineLevel="0" collapsed="false">
      <c r="A8" s="3" t="s">
        <v>18</v>
      </c>
      <c r="B8" s="12" t="n">
        <v>46183</v>
      </c>
      <c r="D8" s="4"/>
      <c r="E8" s="4"/>
      <c r="F8" s="4"/>
    </row>
    <row r="9" customFormat="false" ht="14.25" hidden="false" customHeight="false" outlineLevel="0" collapsed="false">
      <c r="A9" s="3" t="s">
        <v>19</v>
      </c>
      <c r="B9" s="10" t="s">
        <v>20</v>
      </c>
    </row>
    <row r="10" customFormat="false" ht="14.25" hidden="false" customHeight="false" outlineLevel="0" collapsed="false">
      <c r="A10" s="3" t="s">
        <v>21</v>
      </c>
      <c r="B10" s="13" t="s">
        <v>22</v>
      </c>
    </row>
    <row r="11" customFormat="false" ht="14.25" hidden="false" customHeight="false" outlineLevel="0" collapsed="false"/>
    <row r="12" customFormat="false" ht="14.9" hidden="false" customHeight="false" outlineLevel="0" collapsed="false">
      <c r="A12" s="1" t="s">
        <v>23</v>
      </c>
      <c r="B12" s="1" t="s">
        <v>24</v>
      </c>
      <c r="C12" s="2" t="s">
        <v>25</v>
      </c>
      <c r="D12" s="1" t="s">
        <v>26</v>
      </c>
      <c r="E12" s="1" t="s">
        <v>27</v>
      </c>
      <c r="F12" s="1" t="s">
        <v>28</v>
      </c>
      <c r="G12" s="1" t="s">
        <v>29</v>
      </c>
      <c r="H12" s="1" t="s">
        <v>30</v>
      </c>
      <c r="I12" s="14" t="s">
        <v>31</v>
      </c>
      <c r="J12" s="1" t="s">
        <v>32</v>
      </c>
      <c r="K12" s="15" t="s">
        <v>33</v>
      </c>
      <c r="L12" s="1" t="s">
        <v>34</v>
      </c>
      <c r="M12" s="14" t="s">
        <v>35</v>
      </c>
      <c r="N12" s="14" t="s">
        <v>36</v>
      </c>
      <c r="O12" s="1" t="s">
        <v>37</v>
      </c>
      <c r="P12" s="1" t="s">
        <v>38</v>
      </c>
    </row>
    <row r="13" customFormat="false" ht="14.25" hidden="false" customHeight="false" outlineLevel="0" collapsed="false"/>
    <row r="14" customFormat="false" ht="23.85" hidden="false" customHeight="false" outlineLevel="0" collapsed="false">
      <c r="A14" s="16" t="s">
        <v>23</v>
      </c>
      <c r="B14" s="14" t="s">
        <v>39</v>
      </c>
      <c r="C14" s="14" t="s">
        <v>40</v>
      </c>
      <c r="D14" s="14" t="s">
        <v>41</v>
      </c>
      <c r="E14" s="14" t="s">
        <v>42</v>
      </c>
      <c r="F14" s="14" t="s">
        <v>43</v>
      </c>
      <c r="G14" s="14" t="s">
        <v>44</v>
      </c>
      <c r="H14" s="17" t="s">
        <v>45</v>
      </c>
      <c r="I14" s="14" t="s">
        <v>46</v>
      </c>
      <c r="J14" s="17" t="s">
        <v>45</v>
      </c>
      <c r="K14" s="14" t="s">
        <v>46</v>
      </c>
      <c r="L14" s="17" t="s">
        <v>45</v>
      </c>
      <c r="M14" s="14" t="s">
        <v>46</v>
      </c>
      <c r="N14" s="14" t="s">
        <v>46</v>
      </c>
      <c r="O14" s="18" t="s">
        <v>45</v>
      </c>
      <c r="P14" s="18" t="s">
        <v>45</v>
      </c>
      <c r="Q14" s="18" t="s">
        <v>45</v>
      </c>
    </row>
    <row r="15" customFormat="false" ht="14.25" hidden="false" customHeight="false" outlineLevel="0" collapsed="false">
      <c r="A15" s="19" t="s">
        <v>47</v>
      </c>
      <c r="B15" s="2" t="n">
        <v>1</v>
      </c>
      <c r="D15" s="1" t="s">
        <v>48</v>
      </c>
      <c r="F15" s="1" t="s">
        <v>49</v>
      </c>
      <c r="H15" s="1" t="s">
        <v>50</v>
      </c>
      <c r="I15" s="4" t="str">
        <f aca="false">CONCATENATE("http://www.wikidata.org/entity/",H15)</f>
        <v>http://www.wikidata.org/entity/Q121141504</v>
      </c>
      <c r="J15" s="1" t="s">
        <v>51</v>
      </c>
      <c r="K15" s="4" t="str">
        <f aca="false">CONCATENATE("https://d-nb.info/gnd/",J15)</f>
        <v>https://d-nb.info/gnd/4188225-8</v>
      </c>
      <c r="L15" s="1" t="n">
        <v>300028692</v>
      </c>
      <c r="M15" s="4" t="str">
        <f aca="false">CONCATENATE("https://vocab.getty.edu/aat/",L15)</f>
        <v>https://vocab.getty.edu/aat/300028692</v>
      </c>
      <c r="N15" s="1" t="s">
        <v>52</v>
      </c>
      <c r="O15" s="1" t="s">
        <v>49</v>
      </c>
      <c r="P15" s="1" t="s">
        <v>48</v>
      </c>
    </row>
    <row r="16" customFormat="false" ht="14.25" hidden="false" customHeight="false" outlineLevel="0" collapsed="false">
      <c r="A16" s="19" t="s">
        <v>53</v>
      </c>
      <c r="B16" s="2" t="n">
        <v>2</v>
      </c>
      <c r="C16" s="2" t="n">
        <v>1</v>
      </c>
      <c r="D16" s="1" t="s">
        <v>54</v>
      </c>
      <c r="F16" s="1" t="s">
        <v>54</v>
      </c>
      <c r="H16" s="1" t="s">
        <v>55</v>
      </c>
      <c r="I16" s="4" t="str">
        <f aca="false">CONCATENATE("http://www.wikidata.org/entity/",H16)</f>
        <v>http://www.wikidata.org/entity/Q830910</v>
      </c>
      <c r="L16" s="1" t="n">
        <v>300264686</v>
      </c>
      <c r="M16" s="4" t="str">
        <f aca="false">CONCATENATE("https://vocab.getty.edu/aat/",L16)</f>
        <v>https://vocab.getty.edu/aat/300264686</v>
      </c>
      <c r="N16" s="1" t="s">
        <v>56</v>
      </c>
      <c r="O16" s="1" t="s">
        <v>57</v>
      </c>
      <c r="P16" s="1" t="s">
        <v>58</v>
      </c>
    </row>
    <row r="17" customFormat="false" ht="14.25" hidden="false" customHeight="false" outlineLevel="0" collapsed="false">
      <c r="A17" s="19" t="s">
        <v>59</v>
      </c>
      <c r="B17" s="2" t="n">
        <v>3</v>
      </c>
      <c r="C17" s="2" t="n">
        <v>2</v>
      </c>
      <c r="D17" s="1" t="s">
        <v>60</v>
      </c>
      <c r="F17" s="1" t="s">
        <v>60</v>
      </c>
      <c r="H17" s="1" t="s">
        <v>61</v>
      </c>
      <c r="I17" s="4" t="str">
        <f aca="false">CONCATENATE("http://www.wikidata.org/entity/",H17)</f>
        <v>http://www.wikidata.org/entity/Q830904</v>
      </c>
      <c r="L17" s="1" t="n">
        <v>300264687</v>
      </c>
      <c r="M17" s="4" t="str">
        <f aca="false">CONCATENATE("https://vocab.getty.edu/aat/",L17)</f>
        <v>https://vocab.getty.edu/aat/300264687</v>
      </c>
      <c r="O17" s="1" t="s">
        <v>62</v>
      </c>
      <c r="P17" s="1" t="s">
        <v>63</v>
      </c>
    </row>
    <row r="18" customFormat="false" ht="14.25" hidden="false" customHeight="false" outlineLevel="0" collapsed="false">
      <c r="A18" s="19" t="s">
        <v>64</v>
      </c>
      <c r="B18" s="2" t="n">
        <v>4</v>
      </c>
      <c r="C18" s="2" t="n">
        <v>2</v>
      </c>
      <c r="D18" s="1" t="s">
        <v>65</v>
      </c>
      <c r="F18" s="1" t="s">
        <v>65</v>
      </c>
      <c r="H18" s="1" t="s">
        <v>66</v>
      </c>
      <c r="I18" s="4" t="str">
        <f aca="false">CONCATENATE("http://www.wikidata.org/entity/",H18)</f>
        <v>http://www.wikidata.org/entity/Q361797</v>
      </c>
      <c r="N18" s="1" t="s">
        <v>67</v>
      </c>
      <c r="O18" s="1" t="s">
        <v>68</v>
      </c>
      <c r="P18" s="1" t="s">
        <v>69</v>
      </c>
    </row>
    <row r="19" customFormat="false" ht="14.25" hidden="false" customHeight="false" outlineLevel="0" collapsed="false">
      <c r="A19" s="19" t="s">
        <v>70</v>
      </c>
      <c r="B19" s="2" t="n">
        <v>5</v>
      </c>
      <c r="C19" s="2" t="n">
        <v>1</v>
      </c>
      <c r="D19" s="1" t="s">
        <v>71</v>
      </c>
      <c r="F19" s="1" t="s">
        <v>71</v>
      </c>
      <c r="H19" s="1" t="s">
        <v>72</v>
      </c>
      <c r="I19" s="4" t="str">
        <f aca="false">CONCATENATE("http://www.wikidata.org/entity/",H19)</f>
        <v>http://www.wikidata.org/entity/Q690148</v>
      </c>
      <c r="L19" s="1" t="n">
        <v>300404417</v>
      </c>
      <c r="M19" s="4" t="str">
        <f aca="false">CONCATENATE("https://vocab.getty.edu/aat/",L19)</f>
        <v>https://vocab.getty.edu/aat/300404417</v>
      </c>
      <c r="N19" s="1" t="s">
        <v>73</v>
      </c>
      <c r="O19" s="1" t="s">
        <v>74</v>
      </c>
      <c r="P19" s="1" t="s">
        <v>75</v>
      </c>
    </row>
    <row r="20" customFormat="false" ht="14.25" hidden="false" customHeight="false" outlineLevel="0" collapsed="false">
      <c r="A20" s="19" t="s">
        <v>76</v>
      </c>
      <c r="B20" s="2" t="n">
        <v>6</v>
      </c>
      <c r="C20" s="2" t="n">
        <v>1</v>
      </c>
      <c r="D20" s="1" t="s">
        <v>77</v>
      </c>
      <c r="F20" s="1" t="s">
        <v>77</v>
      </c>
      <c r="H20" s="1" t="s">
        <v>78</v>
      </c>
      <c r="I20" s="4" t="str">
        <f aca="false">CONCATENATE("http://www.wikidata.org/entity/",H20)</f>
        <v>http://www.wikidata.org/entity/Q5047444</v>
      </c>
      <c r="N20" s="1" t="s">
        <v>79</v>
      </c>
      <c r="O20" s="1" t="s">
        <v>80</v>
      </c>
      <c r="P20" s="1" t="s">
        <v>81</v>
      </c>
    </row>
    <row r="21" customFormat="false" ht="14.25" hidden="false" customHeight="false" outlineLevel="0" collapsed="false">
      <c r="A21" s="19" t="s">
        <v>82</v>
      </c>
      <c r="B21" s="2" t="n">
        <v>7</v>
      </c>
      <c r="C21" s="2" t="n">
        <v>1</v>
      </c>
      <c r="D21" s="1" t="s">
        <v>83</v>
      </c>
      <c r="F21" s="1" t="s">
        <v>83</v>
      </c>
      <c r="H21" s="1" t="s">
        <v>84</v>
      </c>
      <c r="I21" s="4" t="str">
        <f aca="false">CONCATENATE("http://www.wikidata.org/entity/",H21)</f>
        <v>http://www.wikidata.org/entity/Q1151486</v>
      </c>
      <c r="N21" s="1" t="s">
        <v>85</v>
      </c>
      <c r="O21" s="1" t="s">
        <v>86</v>
      </c>
      <c r="P21" s="1" t="s">
        <v>87</v>
      </c>
    </row>
    <row r="22" customFormat="false" ht="14.25" hidden="false" customHeight="false" outlineLevel="0" collapsed="false">
      <c r="A22" s="19" t="s">
        <v>88</v>
      </c>
      <c r="B22" s="2" t="n">
        <v>8</v>
      </c>
      <c r="C22" s="2" t="n">
        <v>1</v>
      </c>
      <c r="D22" s="1" t="s">
        <v>89</v>
      </c>
      <c r="F22" s="1" t="s">
        <v>89</v>
      </c>
      <c r="H22" s="1" t="s">
        <v>90</v>
      </c>
      <c r="I22" s="4" t="str">
        <f aca="false">CONCATENATE("http://www.wikidata.org/entity/",H22)</f>
        <v>http://www.wikidata.org/entity/Q1158883</v>
      </c>
      <c r="N22" s="1" t="s">
        <v>91</v>
      </c>
      <c r="O22" s="1" t="s">
        <v>92</v>
      </c>
      <c r="P22" s="1" t="s">
        <v>93</v>
      </c>
    </row>
    <row r="23" customFormat="false" ht="14.25" hidden="false" customHeight="false" outlineLevel="0" collapsed="false">
      <c r="A23" s="19" t="s">
        <v>94</v>
      </c>
      <c r="B23" s="2" t="n">
        <v>9</v>
      </c>
      <c r="C23" s="2" t="n">
        <v>1</v>
      </c>
      <c r="D23" s="1" t="s">
        <v>95</v>
      </c>
      <c r="F23" s="1" t="s">
        <v>95</v>
      </c>
      <c r="H23" s="1" t="s">
        <v>96</v>
      </c>
      <c r="I23" s="4" t="str">
        <f aca="false">CONCATENATE("http://www.wikidata.org/entity/",H23)</f>
        <v>http://www.wikidata.org/entity/Q736474</v>
      </c>
      <c r="N23" s="1" t="s">
        <v>97</v>
      </c>
      <c r="O23" s="1" t="s">
        <v>98</v>
      </c>
      <c r="P23" s="1" t="s">
        <v>99</v>
      </c>
    </row>
    <row r="24" customFormat="false" ht="14.25" hidden="false" customHeight="false" outlineLevel="0" collapsed="false">
      <c r="A24" s="19" t="s">
        <v>100</v>
      </c>
      <c r="B24" s="2" t="n">
        <v>10</v>
      </c>
      <c r="C24" s="2" t="n">
        <v>1</v>
      </c>
      <c r="D24" s="1" t="s">
        <v>101</v>
      </c>
      <c r="F24" s="1" t="s">
        <v>101</v>
      </c>
      <c r="H24" s="1" t="s">
        <v>102</v>
      </c>
      <c r="I24" s="4" t="str">
        <f aca="false">CONCATENATE("http://www.wikidata.org/entity/",H24)</f>
        <v>http://www.wikidata.org/entity/Q2738019</v>
      </c>
      <c r="N24" s="1" t="s">
        <v>103</v>
      </c>
      <c r="O24" s="1" t="s">
        <v>104</v>
      </c>
      <c r="P24" s="1" t="s">
        <v>105</v>
      </c>
    </row>
    <row r="25" customFormat="false" ht="14.25" hidden="false" customHeight="false" outlineLevel="0" collapsed="false">
      <c r="A25" s="19" t="s">
        <v>106</v>
      </c>
      <c r="B25" s="2" t="n">
        <v>11</v>
      </c>
      <c r="C25" s="2" t="n">
        <v>1</v>
      </c>
      <c r="D25" s="1" t="s">
        <v>107</v>
      </c>
      <c r="E25" s="1" t="s">
        <v>108</v>
      </c>
      <c r="F25" s="1" t="s">
        <v>107</v>
      </c>
      <c r="H25" s="1" t="s">
        <v>109</v>
      </c>
      <c r="I25" s="4" t="str">
        <f aca="false">CONCATENATE("http://www.wikidata.org/entity/",H25)</f>
        <v>http://www.wikidata.org/entity/Q3700253</v>
      </c>
      <c r="N25" s="1" t="s">
        <v>110</v>
      </c>
      <c r="O25" s="1" t="s">
        <v>111</v>
      </c>
      <c r="P25" s="1" t="s">
        <v>112</v>
      </c>
    </row>
    <row r="26" customFormat="false" ht="14.25" hidden="false" customHeight="false" outlineLevel="0" collapsed="false">
      <c r="A26" s="19" t="s">
        <v>113</v>
      </c>
      <c r="B26" s="2" t="n">
        <v>12</v>
      </c>
      <c r="C26" s="2" t="n">
        <v>1</v>
      </c>
      <c r="D26" s="1" t="s">
        <v>114</v>
      </c>
      <c r="E26" s="1" t="s">
        <v>115</v>
      </c>
      <c r="F26" s="1" t="s">
        <v>114</v>
      </c>
      <c r="H26" s="1" t="s">
        <v>116</v>
      </c>
      <c r="I26" s="4" t="str">
        <f aca="false">CONCATENATE("http://www.wikidata.org/entity/",H26)</f>
        <v>http://www.wikidata.org/entity/Q1151555</v>
      </c>
      <c r="N26" s="1" t="s">
        <v>117</v>
      </c>
      <c r="O26" s="1" t="s">
        <v>118</v>
      </c>
      <c r="P26" s="1" t="s">
        <v>119</v>
      </c>
    </row>
    <row r="27" customFormat="false" ht="14.25" hidden="false" customHeight="false" outlineLevel="0" collapsed="false">
      <c r="A27" s="19" t="s">
        <v>120</v>
      </c>
      <c r="B27" s="2" t="n">
        <v>13</v>
      </c>
      <c r="C27" s="2" t="n">
        <v>1</v>
      </c>
      <c r="D27" s="1" t="s">
        <v>121</v>
      </c>
      <c r="F27" s="1" t="s">
        <v>121</v>
      </c>
      <c r="H27" s="1" t="s">
        <v>122</v>
      </c>
      <c r="I27" s="4" t="str">
        <f aca="false">CONCATENATE("http://www.wikidata.org/entity/",H27)</f>
        <v>http://www.wikidata.org/entity/Q3700309</v>
      </c>
      <c r="N27" s="1" t="s">
        <v>123</v>
      </c>
      <c r="O27" s="1" t="s">
        <v>124</v>
      </c>
      <c r="P27" s="1" t="s">
        <v>125</v>
      </c>
    </row>
    <row r="28" customFormat="false" ht="14.25" hidden="false" customHeight="false" outlineLevel="0" collapsed="false">
      <c r="A28" s="19" t="s">
        <v>126</v>
      </c>
      <c r="B28" s="2" t="n">
        <v>14</v>
      </c>
      <c r="C28" s="2" t="n">
        <v>1</v>
      </c>
      <c r="D28" s="1" t="s">
        <v>127</v>
      </c>
      <c r="E28" s="1" t="s">
        <v>128</v>
      </c>
      <c r="F28" s="1" t="s">
        <v>127</v>
      </c>
      <c r="H28" s="1" t="s">
        <v>129</v>
      </c>
      <c r="I28" s="4" t="str">
        <f aca="false">CONCATENATE("http://www.wikidata.org/entity/",H28)</f>
        <v>http://www.wikidata.org/entity/Q1751553</v>
      </c>
      <c r="N28" s="1" t="s">
        <v>130</v>
      </c>
      <c r="O28" s="1" t="s">
        <v>131</v>
      </c>
      <c r="P28" s="1" t="s">
        <v>132</v>
      </c>
    </row>
    <row r="29" customFormat="false" ht="14.25" hidden="false" customHeight="false" outlineLevel="0" collapsed="false">
      <c r="A29" s="19" t="s">
        <v>133</v>
      </c>
      <c r="B29" s="2" t="n">
        <v>15</v>
      </c>
      <c r="C29" s="2" t="n">
        <v>1</v>
      </c>
      <c r="D29" s="1" t="s">
        <v>134</v>
      </c>
      <c r="E29" s="1" t="s">
        <v>135</v>
      </c>
      <c r="F29" s="1" t="s">
        <v>134</v>
      </c>
      <c r="H29" s="1" t="s">
        <v>136</v>
      </c>
      <c r="I29" s="4" t="str">
        <f aca="false">CONCATENATE("http://www.wikidata.org/entity/",H29)</f>
        <v>http://www.wikidata.org/entity/Q930337</v>
      </c>
      <c r="N29" s="1" t="s">
        <v>137</v>
      </c>
      <c r="O29" s="1" t="s">
        <v>138</v>
      </c>
      <c r="P29" s="1" t="s">
        <v>139</v>
      </c>
    </row>
    <row r="30" customFormat="false" ht="14.25" hidden="false" customHeight="false" outlineLevel="0" collapsed="false">
      <c r="A30" s="19" t="s">
        <v>140</v>
      </c>
      <c r="B30" s="2" t="n">
        <v>16</v>
      </c>
      <c r="C30" s="2" t="n">
        <v>1</v>
      </c>
      <c r="D30" s="1" t="s">
        <v>141</v>
      </c>
      <c r="F30" s="1" t="s">
        <v>141</v>
      </c>
      <c r="H30" s="1" t="s">
        <v>142</v>
      </c>
      <c r="I30" s="4" t="str">
        <f aca="false">CONCATENATE("http://www.wikidata.org/entity/",H30)</f>
        <v>http://www.wikidata.org/entity/Q3796889</v>
      </c>
      <c r="N30" s="1" t="s">
        <v>143</v>
      </c>
      <c r="O30" s="1" t="s">
        <v>144</v>
      </c>
      <c r="P30" s="1" t="s">
        <v>145</v>
      </c>
    </row>
    <row r="31" customFormat="false" ht="14.25" hidden="false" customHeight="false" outlineLevel="0" collapsed="false">
      <c r="A31" s="19" t="s">
        <v>146</v>
      </c>
      <c r="B31" s="2" t="n">
        <v>17</v>
      </c>
      <c r="C31" s="2" t="n">
        <v>1</v>
      </c>
      <c r="D31" s="1" t="s">
        <v>147</v>
      </c>
      <c r="F31" s="1" t="s">
        <v>147</v>
      </c>
      <c r="H31" s="1" t="s">
        <v>148</v>
      </c>
      <c r="I31" s="4" t="str">
        <f aca="false">CONCATENATE("http://www.wikidata.org/entity/",H31)</f>
        <v>http://www.wikidata.org/entity/Q1361160</v>
      </c>
      <c r="N31" s="1" t="s">
        <v>149</v>
      </c>
      <c r="O31" s="1" t="s">
        <v>150</v>
      </c>
      <c r="P31" s="1" t="s">
        <v>151</v>
      </c>
    </row>
    <row r="32" customFormat="false" ht="14.25" hidden="false" customHeight="false" outlineLevel="0" collapsed="false">
      <c r="A32" s="19" t="s">
        <v>152</v>
      </c>
      <c r="B32" s="2" t="n">
        <v>18</v>
      </c>
      <c r="C32" s="2" t="n">
        <v>1</v>
      </c>
      <c r="D32" s="1" t="s">
        <v>153</v>
      </c>
      <c r="E32" s="1" t="s">
        <v>154</v>
      </c>
      <c r="F32" s="1" t="s">
        <v>153</v>
      </c>
      <c r="H32" s="1" t="s">
        <v>155</v>
      </c>
      <c r="I32" s="4" t="str">
        <f aca="false">CONCATENATE("http://www.wikidata.org/entity/",H32)</f>
        <v>http://www.wikidata.org/entity/Q20183259</v>
      </c>
      <c r="N32" s="1" t="s">
        <v>156</v>
      </c>
      <c r="O32" s="1" t="s">
        <v>157</v>
      </c>
      <c r="P32" s="1" t="s">
        <v>158</v>
      </c>
    </row>
    <row r="33" customFormat="false" ht="14.25" hidden="false" customHeight="false" outlineLevel="0" collapsed="false">
      <c r="A33" s="19" t="s">
        <v>159</v>
      </c>
      <c r="B33" s="2" t="n">
        <v>19</v>
      </c>
      <c r="C33" s="2" t="n">
        <v>1</v>
      </c>
      <c r="D33" s="1" t="s">
        <v>160</v>
      </c>
      <c r="E33" s="1" t="s">
        <v>161</v>
      </c>
      <c r="F33" s="1" t="s">
        <v>160</v>
      </c>
      <c r="H33" s="1" t="s">
        <v>162</v>
      </c>
      <c r="I33" s="4" t="str">
        <f aca="false">CONCATENATE("http://www.wikidata.org/entity/",H33)</f>
        <v>http://www.wikidata.org/entity/Q1194529</v>
      </c>
      <c r="N33" s="1" t="s">
        <v>163</v>
      </c>
      <c r="O33" s="1" t="s">
        <v>164</v>
      </c>
      <c r="P33" s="1" t="s">
        <v>165</v>
      </c>
    </row>
    <row r="34" customFormat="false" ht="14.25" hidden="false" customHeight="false" outlineLevel="0" collapsed="false">
      <c r="A34" s="19" t="s">
        <v>166</v>
      </c>
      <c r="B34" s="2" t="n">
        <v>20</v>
      </c>
      <c r="C34" s="2" t="n">
        <v>1</v>
      </c>
      <c r="D34" s="1" t="s">
        <v>167</v>
      </c>
      <c r="F34" s="1" t="s">
        <v>167</v>
      </c>
      <c r="H34" s="1" t="s">
        <v>168</v>
      </c>
      <c r="I34" s="4" t="str">
        <f aca="false">CONCATENATE("http://www.wikidata.org/entity/",H34)</f>
        <v>http://www.wikidata.org/entity/Q1563058</v>
      </c>
      <c r="N34" s="1" t="s">
        <v>169</v>
      </c>
      <c r="O34" s="1" t="s">
        <v>170</v>
      </c>
      <c r="P34" s="1" t="s">
        <v>171</v>
      </c>
    </row>
    <row r="35" customFormat="false" ht="14.25" hidden="false" customHeight="false" outlineLevel="0" collapsed="false">
      <c r="A35" s="19" t="s">
        <v>172</v>
      </c>
      <c r="B35" s="2" t="n">
        <v>21</v>
      </c>
      <c r="C35" s="2" t="n">
        <v>1</v>
      </c>
      <c r="D35" s="1" t="s">
        <v>173</v>
      </c>
      <c r="F35" s="1" t="s">
        <v>173</v>
      </c>
      <c r="H35" s="1" t="s">
        <v>174</v>
      </c>
      <c r="I35" s="4" t="str">
        <f aca="false">CONCATENATE("http://www.wikidata.org/entity/",H35)</f>
        <v>http://www.wikidata.org/entity/Q2302273</v>
      </c>
      <c r="L35" s="1" t="n">
        <v>300264682</v>
      </c>
      <c r="M35" s="4" t="str">
        <f aca="false">CONCATENATE("https://vocab.getty.edu/aat/",L35)</f>
        <v>https://vocab.getty.edu/aat/300264682</v>
      </c>
      <c r="N35" s="1" t="s">
        <v>175</v>
      </c>
      <c r="O35" s="1" t="s">
        <v>176</v>
      </c>
      <c r="P35" s="1" t="s">
        <v>177</v>
      </c>
    </row>
    <row r="36" customFormat="false" ht="14.25" hidden="false" customHeight="false" outlineLevel="0" collapsed="false">
      <c r="A36" s="19" t="s">
        <v>178</v>
      </c>
      <c r="B36" s="2" t="n">
        <v>22</v>
      </c>
      <c r="C36" s="2" t="n">
        <v>1</v>
      </c>
      <c r="D36" s="1" t="s">
        <v>179</v>
      </c>
      <c r="F36" s="1" t="s">
        <v>179</v>
      </c>
      <c r="H36" s="1" t="s">
        <v>180</v>
      </c>
      <c r="I36" s="4" t="str">
        <f aca="false">CONCATENATE("http://www.wikidata.org/entity/",H36)</f>
        <v>http://www.wikidata.org/entity/Q3841334</v>
      </c>
      <c r="N36" s="1" t="s">
        <v>181</v>
      </c>
      <c r="O36" s="1" t="s">
        <v>182</v>
      </c>
      <c r="P36" s="1" t="s">
        <v>183</v>
      </c>
    </row>
    <row r="37" customFormat="false" ht="14.25" hidden="false" customHeight="false" outlineLevel="0" collapsed="false">
      <c r="A37" s="19" t="s">
        <v>184</v>
      </c>
      <c r="B37" s="2" t="n">
        <v>23</v>
      </c>
      <c r="C37" s="2" t="n">
        <v>1</v>
      </c>
      <c r="D37" s="1" t="s">
        <v>185</v>
      </c>
      <c r="E37" s="1" t="s">
        <v>186</v>
      </c>
      <c r="F37" s="1" t="s">
        <v>185</v>
      </c>
      <c r="H37" s="1" t="s">
        <v>187</v>
      </c>
      <c r="I37" s="4" t="str">
        <f aca="false">CONCATENATE("http://www.wikidata.org/entity/",H37)</f>
        <v>http://www.wikidata.org/entity/Q6957908</v>
      </c>
      <c r="N37" s="1" t="s">
        <v>188</v>
      </c>
      <c r="O37" s="1" t="s">
        <v>189</v>
      </c>
      <c r="P37" s="1" t="s">
        <v>190</v>
      </c>
    </row>
    <row r="38" customFormat="false" ht="14.25" hidden="false" customHeight="false" outlineLevel="0" collapsed="false">
      <c r="A38" s="19" t="s">
        <v>191</v>
      </c>
      <c r="B38" s="2" t="n">
        <v>24</v>
      </c>
      <c r="C38" s="2" t="n">
        <v>1</v>
      </c>
      <c r="D38" s="1" t="s">
        <v>192</v>
      </c>
      <c r="E38" s="1" t="s">
        <v>193</v>
      </c>
      <c r="F38" s="1" t="s">
        <v>192</v>
      </c>
      <c r="H38" s="1" t="s">
        <v>194</v>
      </c>
      <c r="I38" s="4" t="str">
        <f aca="false">CONCATENATE("http://www.wikidata.org/entity/",H38)</f>
        <v>http://www.wikidata.org/entity/Q278080</v>
      </c>
      <c r="N38" s="1" t="s">
        <v>195</v>
      </c>
      <c r="O38" s="1" t="s">
        <v>196</v>
      </c>
      <c r="P38" s="1" t="s">
        <v>197</v>
      </c>
    </row>
    <row r="39" customFormat="false" ht="14.25" hidden="false" customHeight="false" outlineLevel="0" collapsed="false">
      <c r="A39" s="19" t="s">
        <v>198</v>
      </c>
      <c r="B39" s="2" t="n">
        <v>25</v>
      </c>
      <c r="C39" s="2" t="n">
        <v>1</v>
      </c>
      <c r="D39" s="1" t="s">
        <v>199</v>
      </c>
      <c r="F39" s="1" t="s">
        <v>199</v>
      </c>
      <c r="H39" s="1" t="s">
        <v>200</v>
      </c>
      <c r="I39" s="4" t="str">
        <f aca="false">CONCATENATE("http://www.wikidata.org/entity/",H39)</f>
        <v>http://www.wikidata.org/entity/Q5929966</v>
      </c>
      <c r="N39" s="1" t="s">
        <v>201</v>
      </c>
      <c r="O39" s="1" t="s">
        <v>202</v>
      </c>
      <c r="P39" s="1" t="s">
        <v>203</v>
      </c>
    </row>
    <row r="40" customFormat="false" ht="14.25" hidden="false" customHeight="false" outlineLevel="0" collapsed="false">
      <c r="A40" s="19" t="s">
        <v>204</v>
      </c>
      <c r="B40" s="2" t="n">
        <v>26</v>
      </c>
      <c r="C40" s="2" t="n">
        <v>1</v>
      </c>
      <c r="D40" s="1" t="s">
        <v>205</v>
      </c>
      <c r="F40" s="1" t="s">
        <v>205</v>
      </c>
      <c r="H40" s="1" t="s">
        <v>206</v>
      </c>
      <c r="I40" s="4" t="str">
        <f aca="false">CONCATENATE("http://www.wikidata.org/entity/",H40)</f>
        <v>http://www.wikidata.org/entity/Q183976</v>
      </c>
      <c r="N40" s="1" t="s">
        <v>207</v>
      </c>
      <c r="O40" s="1" t="s">
        <v>208</v>
      </c>
      <c r="P40" s="1" t="s">
        <v>209</v>
      </c>
    </row>
    <row r="41" customFormat="false" ht="14.25" hidden="false" customHeight="false" outlineLevel="0" collapsed="false">
      <c r="A41" s="19" t="s">
        <v>210</v>
      </c>
      <c r="B41" s="2" t="n">
        <v>27</v>
      </c>
      <c r="C41" s="2" t="n">
        <v>26</v>
      </c>
      <c r="D41" s="1" t="s">
        <v>211</v>
      </c>
      <c r="F41" s="1" t="s">
        <v>211</v>
      </c>
      <c r="H41" s="1" t="s">
        <v>212</v>
      </c>
      <c r="I41" s="4" t="str">
        <f aca="false">CONCATENATE("http://www.wikidata.org/entity/",H41)</f>
        <v>http://www.wikidata.org/entity/Q1050875</v>
      </c>
      <c r="O41" s="1" t="s">
        <v>213</v>
      </c>
      <c r="P41" s="1" t="s">
        <v>214</v>
      </c>
    </row>
    <row r="42" customFormat="false" ht="14.25" hidden="false" customHeight="false" outlineLevel="0" collapsed="false">
      <c r="A42" s="19" t="s">
        <v>215</v>
      </c>
      <c r="B42" s="2" t="n">
        <v>28</v>
      </c>
      <c r="C42" s="2" t="n">
        <v>26</v>
      </c>
      <c r="D42" s="1" t="s">
        <v>216</v>
      </c>
      <c r="F42" s="1" t="s">
        <v>216</v>
      </c>
      <c r="H42" s="1" t="s">
        <v>217</v>
      </c>
      <c r="I42" s="4" t="str">
        <f aca="false">CONCATENATE("http://www.wikidata.org/entity/",H42)</f>
        <v>http://www.wikidata.org/entity/Q549855</v>
      </c>
      <c r="O42" s="1" t="s">
        <v>213</v>
      </c>
      <c r="P42" s="1" t="s">
        <v>214</v>
      </c>
    </row>
    <row r="43" customFormat="false" ht="14.25" hidden="false" customHeight="false" outlineLevel="0" collapsed="false">
      <c r="A43" s="19" t="s">
        <v>218</v>
      </c>
      <c r="B43" s="2" t="n">
        <v>29</v>
      </c>
      <c r="C43" s="2" t="n">
        <v>1</v>
      </c>
      <c r="D43" s="1" t="s">
        <v>219</v>
      </c>
      <c r="F43" s="1" t="s">
        <v>219</v>
      </c>
      <c r="H43" s="1" t="s">
        <v>220</v>
      </c>
      <c r="I43" s="4" t="str">
        <f aca="false">CONCATENATE("http://www.wikidata.org/entity/",H43)</f>
        <v>http://www.wikidata.org/entity/Q1155472</v>
      </c>
      <c r="N43" s="1" t="s">
        <v>221</v>
      </c>
      <c r="O43" s="1" t="s">
        <v>222</v>
      </c>
      <c r="P43" s="1" t="s">
        <v>223</v>
      </c>
    </row>
    <row r="44" customFormat="false" ht="14.25" hidden="false" customHeight="false" outlineLevel="0" collapsed="false">
      <c r="A44" s="19" t="s">
        <v>224</v>
      </c>
      <c r="B44" s="2" t="n">
        <v>30</v>
      </c>
      <c r="C44" s="2" t="n">
        <v>1</v>
      </c>
      <c r="D44" s="1" t="s">
        <v>225</v>
      </c>
      <c r="F44" s="1" t="s">
        <v>225</v>
      </c>
      <c r="H44" s="1" t="s">
        <v>226</v>
      </c>
      <c r="I44" s="4" t="str">
        <f aca="false">CONCATENATE("http://www.wikidata.org/entity/",H44)</f>
        <v>http://www.wikidata.org/entity/Q7907690</v>
      </c>
      <c r="N44" s="1" t="s">
        <v>227</v>
      </c>
      <c r="O44" s="1" t="s">
        <v>228</v>
      </c>
      <c r="P44" s="1" t="s">
        <v>229</v>
      </c>
    </row>
    <row r="45" customFormat="false" ht="14.25" hidden="false" customHeight="false" outlineLevel="0" collapsed="false">
      <c r="A45" s="19" t="s">
        <v>230</v>
      </c>
      <c r="B45" s="2" t="n">
        <v>31</v>
      </c>
      <c r="D45" s="1" t="s">
        <v>231</v>
      </c>
      <c r="F45" s="1" t="s">
        <v>232</v>
      </c>
      <c r="G45" s="1" t="s">
        <v>233</v>
      </c>
      <c r="H45" s="1" t="s">
        <v>234</v>
      </c>
      <c r="I45" s="4" t="str">
        <f aca="false">CONCATENATE("http://www.wikidata.org/entity/",H45)</f>
        <v>http://www.wikidata.org/entity/Q29167500</v>
      </c>
      <c r="L45" s="1" t="n">
        <v>300450676</v>
      </c>
      <c r="M45" s="4" t="str">
        <f aca="false">CONCATENATE("https://vocab.getty.edu/aat/",L45)</f>
        <v>https://vocab.getty.edu/aat/300450676</v>
      </c>
      <c r="N45" s="1" t="s">
        <v>235</v>
      </c>
      <c r="O45" s="1" t="s">
        <v>232</v>
      </c>
      <c r="P45" s="1" t="s">
        <v>231</v>
      </c>
    </row>
    <row r="46" customFormat="false" ht="14.25" hidden="false" customHeight="false" outlineLevel="0" collapsed="false">
      <c r="A46" s="19" t="s">
        <v>236</v>
      </c>
      <c r="B46" s="2" t="n">
        <v>32</v>
      </c>
      <c r="C46" s="2" t="n">
        <v>31</v>
      </c>
      <c r="D46" s="1" t="s">
        <v>237</v>
      </c>
      <c r="E46" s="1" t="s">
        <v>238</v>
      </c>
      <c r="F46" s="1" t="s">
        <v>239</v>
      </c>
      <c r="H46" s="1" t="s">
        <v>240</v>
      </c>
      <c r="I46" s="4" t="str">
        <f aca="false">CONCATENATE("http://www.wikidata.org/entity/",H46)</f>
        <v>http://www.wikidata.org/entity/Q3597951</v>
      </c>
      <c r="O46" s="1" t="s">
        <v>241</v>
      </c>
      <c r="P46" s="1" t="s">
        <v>242</v>
      </c>
    </row>
    <row r="47" customFormat="false" ht="14.25" hidden="false" customHeight="false" outlineLevel="0" collapsed="false">
      <c r="A47" s="19" t="s">
        <v>243</v>
      </c>
      <c r="B47" s="2" t="n">
        <v>33</v>
      </c>
      <c r="C47" s="2" t="n">
        <v>31</v>
      </c>
      <c r="D47" s="1" t="s">
        <v>244</v>
      </c>
      <c r="E47" s="1" t="s">
        <v>245</v>
      </c>
      <c r="F47" s="1" t="s">
        <v>246</v>
      </c>
      <c r="H47" s="1" t="s">
        <v>247</v>
      </c>
      <c r="I47" s="4" t="str">
        <f aca="false">CONCATENATE("http://www.wikidata.org/entity/",H47)</f>
        <v>http://www.wikidata.org/entity/Q3597955</v>
      </c>
      <c r="O47" s="1" t="s">
        <v>248</v>
      </c>
      <c r="P47" s="1" t="s">
        <v>249</v>
      </c>
    </row>
    <row r="48" customFormat="false" ht="14.25" hidden="false" customHeight="false" outlineLevel="0" collapsed="false">
      <c r="A48" s="19" t="s">
        <v>250</v>
      </c>
      <c r="B48" s="2" t="n">
        <v>34</v>
      </c>
      <c r="C48" s="2" t="n">
        <v>31</v>
      </c>
      <c r="D48" s="1" t="s">
        <v>251</v>
      </c>
      <c r="E48" s="1" t="s">
        <v>252</v>
      </c>
      <c r="F48" s="1" t="s">
        <v>253</v>
      </c>
      <c r="H48" s="1" t="s">
        <v>254</v>
      </c>
      <c r="I48" s="4" t="str">
        <f aca="false">CONCATENATE("http://www.wikidata.org/entity/",H48)</f>
        <v>http://www.wikidata.org/entity/Q209020</v>
      </c>
      <c r="N48" s="1" t="s">
        <v>255</v>
      </c>
      <c r="O48" s="1" t="s">
        <v>256</v>
      </c>
      <c r="P48" s="1" t="s">
        <v>257</v>
      </c>
    </row>
    <row r="49" customFormat="false" ht="14.25" hidden="false" customHeight="false" outlineLevel="0" collapsed="false">
      <c r="A49" s="19" t="s">
        <v>258</v>
      </c>
      <c r="B49" s="2" t="n">
        <v>35</v>
      </c>
      <c r="C49" s="2" t="n">
        <v>31</v>
      </c>
      <c r="D49" s="1" t="s">
        <v>259</v>
      </c>
      <c r="E49" s="1" t="s">
        <v>260</v>
      </c>
      <c r="F49" s="1" t="s">
        <v>261</v>
      </c>
      <c r="H49" s="1" t="s">
        <v>262</v>
      </c>
      <c r="I49" s="4" t="str">
        <f aca="false">CONCATENATE("http://www.wikidata.org/entity/",H49)</f>
        <v>http://www.wikidata.org/entity/Q3748136</v>
      </c>
      <c r="N49" s="1" t="s">
        <v>263</v>
      </c>
      <c r="O49" s="1" t="s">
        <v>264</v>
      </c>
      <c r="P49" s="1" t="s">
        <v>265</v>
      </c>
    </row>
    <row r="50" customFormat="false" ht="14.25" hidden="false" customHeight="false" outlineLevel="0" collapsed="false">
      <c r="A50" s="19" t="s">
        <v>266</v>
      </c>
      <c r="B50" s="2" t="n">
        <v>36</v>
      </c>
      <c r="C50" s="2" t="n">
        <v>31</v>
      </c>
      <c r="D50" s="1" t="s">
        <v>267</v>
      </c>
      <c r="E50" s="1" t="s">
        <v>268</v>
      </c>
      <c r="F50" s="1" t="s">
        <v>269</v>
      </c>
      <c r="H50" s="1" t="s">
        <v>270</v>
      </c>
      <c r="I50" s="4" t="str">
        <f aca="false">CONCATENATE("http://www.wikidata.org/entity/",H50)</f>
        <v>http://www.wikidata.org/entity/Q4700172</v>
      </c>
      <c r="N50" s="1" t="s">
        <v>271</v>
      </c>
      <c r="O50" s="1" t="s">
        <v>272</v>
      </c>
      <c r="P50" s="1" t="s">
        <v>273</v>
      </c>
    </row>
    <row r="51" customFormat="false" ht="14.25" hidden="false" customHeight="false" outlineLevel="0" collapsed="false">
      <c r="A51" s="19" t="s">
        <v>274</v>
      </c>
      <c r="B51" s="2" t="n">
        <v>37</v>
      </c>
      <c r="C51" s="2" t="n">
        <v>31</v>
      </c>
      <c r="D51" s="1" t="s">
        <v>275</v>
      </c>
      <c r="E51" s="1" t="s">
        <v>276</v>
      </c>
      <c r="F51" s="1" t="s">
        <v>277</v>
      </c>
      <c r="H51" s="1" t="s">
        <v>278</v>
      </c>
      <c r="I51" s="4" t="str">
        <f aca="false">CONCATENATE("http://www.wikidata.org/entity/",H51)</f>
        <v>http://www.wikidata.org/entity/Q122763358</v>
      </c>
      <c r="N51" s="1" t="s">
        <v>279</v>
      </c>
      <c r="O51" s="1" t="s">
        <v>280</v>
      </c>
      <c r="P51" s="1" t="s">
        <v>281</v>
      </c>
    </row>
    <row r="52" customFormat="false" ht="14.25" hidden="false" customHeight="false" outlineLevel="0" collapsed="false">
      <c r="A52" s="19" t="s">
        <v>282</v>
      </c>
      <c r="B52" s="2" t="n">
        <v>38</v>
      </c>
      <c r="D52" s="1" t="s">
        <v>283</v>
      </c>
      <c r="F52" s="1" t="s">
        <v>284</v>
      </c>
      <c r="H52" s="1" t="s">
        <v>285</v>
      </c>
      <c r="I52" s="4" t="str">
        <f aca="false">CONCATENATE("http://www.wikidata.org/entity/",H52)</f>
        <v>http://www.wikidata.org/entity/Q234870</v>
      </c>
      <c r="N52" s="1" t="s">
        <v>286</v>
      </c>
      <c r="O52" s="1" t="s">
        <v>284</v>
      </c>
      <c r="P52" s="1" t="s">
        <v>283</v>
      </c>
    </row>
    <row r="53" customFormat="false" ht="14.25" hidden="false" customHeight="false" outlineLevel="0" collapsed="false">
      <c r="A53" s="19" t="s">
        <v>287</v>
      </c>
      <c r="B53" s="2" t="n">
        <v>39</v>
      </c>
      <c r="C53" s="2" t="n">
        <v>38</v>
      </c>
      <c r="D53" s="1" t="s">
        <v>288</v>
      </c>
      <c r="E53" s="1" t="s">
        <v>289</v>
      </c>
      <c r="F53" s="1" t="s">
        <v>288</v>
      </c>
      <c r="H53" s="1" t="s">
        <v>290</v>
      </c>
      <c r="I53" s="4" t="str">
        <f aca="false">CONCATENATE("http://www.wikidata.org/entity/",H53)</f>
        <v>http://www.wikidata.org/entity/Q47770</v>
      </c>
      <c r="J53" s="1" t="s">
        <v>291</v>
      </c>
      <c r="K53" s="4" t="str">
        <f aca="false">CONCATENATE("https://d-nb.info/gnd/",J53)</f>
        <v>https://d-nb.info/gnd/7597887-8</v>
      </c>
      <c r="N53" s="1" t="s">
        <v>292</v>
      </c>
      <c r="O53" s="1" t="s">
        <v>293</v>
      </c>
      <c r="P53" s="1" t="s">
        <v>294</v>
      </c>
    </row>
    <row r="54" customFormat="false" ht="14.25" hidden="false" customHeight="false" outlineLevel="0" collapsed="false">
      <c r="A54" s="19" t="s">
        <v>295</v>
      </c>
      <c r="B54" s="2" t="n">
        <v>40</v>
      </c>
      <c r="C54" s="2" t="n">
        <v>38</v>
      </c>
      <c r="D54" s="1" t="s">
        <v>296</v>
      </c>
      <c r="E54" s="1" t="s">
        <v>297</v>
      </c>
      <c r="F54" s="1" t="s">
        <v>296</v>
      </c>
      <c r="H54" s="1" t="s">
        <v>298</v>
      </c>
      <c r="I54" s="4" t="str">
        <f aca="false">CONCATENATE("http://www.wikidata.org/entity/",H54)</f>
        <v>http://www.wikidata.org/entity/Q5294</v>
      </c>
      <c r="N54" s="1" t="s">
        <v>299</v>
      </c>
      <c r="O54" s="1" t="s">
        <v>300</v>
      </c>
      <c r="P54" s="1" t="s">
        <v>301</v>
      </c>
    </row>
    <row r="55" customFormat="false" ht="14.25" hidden="false" customHeight="false" outlineLevel="0" collapsed="false">
      <c r="A55" s="19" t="s">
        <v>302</v>
      </c>
      <c r="B55" s="2" t="n">
        <v>41</v>
      </c>
      <c r="C55" s="2" t="n">
        <v>38</v>
      </c>
      <c r="D55" s="1" t="s">
        <v>303</v>
      </c>
      <c r="E55" s="1" t="s">
        <v>304</v>
      </c>
      <c r="F55" s="1" t="s">
        <v>303</v>
      </c>
      <c r="H55" s="1" t="s">
        <v>305</v>
      </c>
      <c r="I55" s="4" t="str">
        <f aca="false">CONCATENATE("http://www.wikidata.org/entity/",H55)</f>
        <v>http://www.wikidata.org/entity/Q1152899</v>
      </c>
      <c r="N55" s="1" t="s">
        <v>306</v>
      </c>
      <c r="O55" s="1" t="s">
        <v>307</v>
      </c>
      <c r="P55" s="1" t="s">
        <v>308</v>
      </c>
    </row>
    <row r="56" customFormat="false" ht="14.25" hidden="false" customHeight="false" outlineLevel="0" collapsed="false">
      <c r="A56" s="19" t="s">
        <v>309</v>
      </c>
      <c r="B56" s="2" t="n">
        <v>42</v>
      </c>
      <c r="C56" s="2" t="n">
        <v>38</v>
      </c>
      <c r="D56" s="1" t="s">
        <v>310</v>
      </c>
      <c r="E56" s="1" t="s">
        <v>311</v>
      </c>
      <c r="F56" s="1" t="s">
        <v>310</v>
      </c>
      <c r="H56" s="1" t="s">
        <v>312</v>
      </c>
      <c r="I56" s="4" t="str">
        <f aca="false">CONCATENATE("http://www.wikidata.org/entity/",H56)</f>
        <v>http://www.wikidata.org/entity/Q273309</v>
      </c>
      <c r="N56" s="1" t="s">
        <v>313</v>
      </c>
      <c r="O56" s="1" t="s">
        <v>314</v>
      </c>
      <c r="P56" s="1" t="s">
        <v>315</v>
      </c>
    </row>
    <row r="57" customFormat="false" ht="14.25" hidden="false" customHeight="false" outlineLevel="0" collapsed="false">
      <c r="A57" s="19" t="s">
        <v>316</v>
      </c>
      <c r="B57" s="2" t="n">
        <v>43</v>
      </c>
      <c r="C57" s="2" t="n">
        <v>38</v>
      </c>
      <c r="D57" s="1" t="s">
        <v>317</v>
      </c>
      <c r="E57" s="1" t="s">
        <v>318</v>
      </c>
      <c r="F57" s="1" t="s">
        <v>317</v>
      </c>
      <c r="H57" s="1" t="s">
        <v>319</v>
      </c>
      <c r="I57" s="4" t="str">
        <f aca="false">CONCATENATE("http://www.wikidata.org/entity/",H57)</f>
        <v>http://www.wikidata.org/entity/Q321259</v>
      </c>
      <c r="J57" s="1" t="s">
        <v>320</v>
      </c>
      <c r="K57" s="4" t="str">
        <f aca="false">CONCATENATE("https://d-nb.info/gnd/",J57)</f>
        <v>https://d-nb.info/gnd/4654578-5</v>
      </c>
      <c r="O57" s="1" t="s">
        <v>321</v>
      </c>
      <c r="P57" s="1" t="s">
        <v>322</v>
      </c>
    </row>
    <row r="58" customFormat="false" ht="14.25" hidden="false" customHeight="false" outlineLevel="0" collapsed="false">
      <c r="A58" s="19" t="s">
        <v>323</v>
      </c>
      <c r="B58" s="2" t="n">
        <v>44</v>
      </c>
      <c r="C58" s="2" t="n">
        <v>38</v>
      </c>
      <c r="D58" s="1" t="s">
        <v>324</v>
      </c>
      <c r="F58" s="1" t="s">
        <v>324</v>
      </c>
      <c r="H58" s="1" t="s">
        <v>325</v>
      </c>
      <c r="I58" s="4" t="str">
        <f aca="false">CONCATENATE("http://www.wikidata.org/entity/",H58)</f>
        <v>http://www.wikidata.org/entity/Q428159</v>
      </c>
      <c r="N58" s="1" t="s">
        <v>326</v>
      </c>
      <c r="O58" s="1" t="s">
        <v>327</v>
      </c>
      <c r="P58" s="1" t="s">
        <v>328</v>
      </c>
    </row>
    <row r="59" customFormat="false" ht="14.25" hidden="false" customHeight="false" outlineLevel="0" collapsed="false">
      <c r="A59" s="19" t="s">
        <v>329</v>
      </c>
      <c r="B59" s="2" t="n">
        <v>45</v>
      </c>
      <c r="C59" s="2" t="n">
        <v>38</v>
      </c>
      <c r="D59" s="1" t="s">
        <v>330</v>
      </c>
      <c r="F59" s="1" t="s">
        <v>330</v>
      </c>
      <c r="H59" s="1" t="s">
        <v>331</v>
      </c>
      <c r="I59" s="4" t="str">
        <f aca="false">CONCATENATE("http://www.wikidata.org/entity/",H59)</f>
        <v>http://www.wikidata.org/entity/Q270309</v>
      </c>
      <c r="N59" s="1" t="s">
        <v>332</v>
      </c>
      <c r="O59" s="1" t="s">
        <v>333</v>
      </c>
      <c r="P59" s="1" t="s">
        <v>334</v>
      </c>
    </row>
    <row r="60" customFormat="false" ht="14.25" hidden="false" customHeight="false" outlineLevel="0" collapsed="false">
      <c r="A60" s="19" t="s">
        <v>335</v>
      </c>
      <c r="B60" s="2" t="n">
        <v>46</v>
      </c>
      <c r="C60" s="2" t="n">
        <v>38</v>
      </c>
      <c r="D60" s="1" t="s">
        <v>336</v>
      </c>
      <c r="F60" s="1" t="s">
        <v>336</v>
      </c>
      <c r="H60" s="1" t="s">
        <v>337</v>
      </c>
      <c r="I60" s="4" t="str">
        <f aca="false">CONCATENATE("http://www.wikidata.org/entity/",H60)</f>
        <v>http://www.wikidata.org/entity/Q1153113</v>
      </c>
      <c r="O60" s="1" t="s">
        <v>338</v>
      </c>
      <c r="P60" s="1" t="s">
        <v>339</v>
      </c>
    </row>
    <row r="61" customFormat="false" ht="14.25" hidden="false" customHeight="false" outlineLevel="0" collapsed="false">
      <c r="A61" s="19" t="s">
        <v>340</v>
      </c>
      <c r="B61" s="2" t="n">
        <v>47</v>
      </c>
      <c r="D61" s="1" t="s">
        <v>341</v>
      </c>
      <c r="F61" s="1" t="s">
        <v>342</v>
      </c>
      <c r="H61" s="1" t="s">
        <v>343</v>
      </c>
      <c r="I61" s="4" t="str">
        <f aca="false">CONCATENATE("http://www.wikidata.org/entity/",H61)</f>
        <v>http://www.wikidata.org/entity/Q123117748</v>
      </c>
      <c r="O61" s="1" t="s">
        <v>342</v>
      </c>
      <c r="P61" s="1" t="s">
        <v>341</v>
      </c>
    </row>
    <row r="62" customFormat="false" ht="14.25" hidden="false" customHeight="false" outlineLevel="0" collapsed="false">
      <c r="A62" s="19" t="s">
        <v>344</v>
      </c>
      <c r="B62" s="2" t="n">
        <v>48</v>
      </c>
      <c r="C62" s="2" t="n">
        <v>47</v>
      </c>
      <c r="D62" s="1" t="s">
        <v>345</v>
      </c>
      <c r="F62" s="1" t="s">
        <v>345</v>
      </c>
      <c r="H62" s="1" t="s">
        <v>346</v>
      </c>
      <c r="I62" s="4" t="str">
        <f aca="false">CONCATENATE("http://www.wikidata.org/entity/",H62)</f>
        <v>http://www.wikidata.org/entity/Q5273930</v>
      </c>
      <c r="L62" s="1" t="n">
        <v>300424575</v>
      </c>
      <c r="M62" s="4" t="str">
        <f aca="false">CONCATENATE("https://vocab.getty.edu/aat/",L62)</f>
        <v>https://vocab.getty.edu/aat/300424575</v>
      </c>
      <c r="N62" s="1" t="s">
        <v>347</v>
      </c>
      <c r="O62" s="1" t="s">
        <v>348</v>
      </c>
      <c r="P62" s="1" t="s">
        <v>349</v>
      </c>
    </row>
    <row r="63" customFormat="false" ht="14.25" hidden="false" customHeight="false" outlineLevel="0" collapsed="false">
      <c r="A63" s="19" t="s">
        <v>350</v>
      </c>
      <c r="B63" s="2" t="n">
        <v>49</v>
      </c>
      <c r="C63" s="2" t="n">
        <v>47</v>
      </c>
      <c r="D63" s="1" t="s">
        <v>351</v>
      </c>
      <c r="E63" s="1" t="s">
        <v>352</v>
      </c>
      <c r="F63" s="1" t="s">
        <v>353</v>
      </c>
      <c r="H63" s="1" t="s">
        <v>354</v>
      </c>
      <c r="I63" s="4" t="str">
        <f aca="false">CONCATENATE("http://www.wikidata.org/entity/",H63)</f>
        <v>http://www.wikidata.org/entity/Q691783</v>
      </c>
      <c r="J63" s="1" t="s">
        <v>355</v>
      </c>
      <c r="K63" s="4" t="str">
        <f aca="false">CONCATENATE("https://d-nb.info/gnd/",J63)</f>
        <v>https://d-nb.info/gnd/4536294-4</v>
      </c>
      <c r="L63" s="1" t="n">
        <v>300420461</v>
      </c>
      <c r="M63" s="4" t="str">
        <f aca="false">CONCATENATE("https://vocab.getty.edu/aat/",L63)</f>
        <v>https://vocab.getty.edu/aat/300420461</v>
      </c>
      <c r="O63" s="1" t="s">
        <v>356</v>
      </c>
      <c r="P63" s="1" t="s">
        <v>357</v>
      </c>
    </row>
    <row r="64" customFormat="false" ht="14.25" hidden="false" customHeight="false" outlineLevel="0" collapsed="false">
      <c r="A64" s="19" t="s">
        <v>358</v>
      </c>
      <c r="B64" s="2" t="n">
        <v>50</v>
      </c>
      <c r="C64" s="2" t="n">
        <v>49</v>
      </c>
      <c r="D64" s="1" t="s">
        <v>359</v>
      </c>
      <c r="E64" s="1" t="s">
        <v>360</v>
      </c>
      <c r="F64" s="1" t="s">
        <v>361</v>
      </c>
      <c r="G64" s="1" t="s">
        <v>362</v>
      </c>
      <c r="H64" s="1" t="s">
        <v>363</v>
      </c>
      <c r="I64" s="4" t="str">
        <f aca="false">CONCATENATE("http://www.wikidata.org/entity/",H64)</f>
        <v>http://www.wikidata.org/entity/Q123117896</v>
      </c>
      <c r="O64" s="1" t="s">
        <v>364</v>
      </c>
      <c r="P64" s="1" t="s">
        <v>365</v>
      </c>
    </row>
    <row r="65" customFormat="false" ht="14.25" hidden="false" customHeight="false" outlineLevel="0" collapsed="false">
      <c r="A65" s="19" t="s">
        <v>366</v>
      </c>
      <c r="B65" s="2" t="n">
        <v>51</v>
      </c>
      <c r="C65" s="2" t="n">
        <v>49</v>
      </c>
      <c r="D65" s="1" t="s">
        <v>367</v>
      </c>
      <c r="E65" s="1" t="s">
        <v>368</v>
      </c>
      <c r="F65" s="1" t="s">
        <v>369</v>
      </c>
      <c r="G65" s="1" t="s">
        <v>370</v>
      </c>
      <c r="H65" s="1" t="s">
        <v>371</v>
      </c>
      <c r="I65" s="4" t="str">
        <f aca="false">CONCATENATE("http://www.wikidata.org/entity/",H65)</f>
        <v>http://www.wikidata.org/entity/Q123117963</v>
      </c>
      <c r="O65" s="1" t="s">
        <v>372</v>
      </c>
      <c r="P65" s="1" t="s">
        <v>373</v>
      </c>
    </row>
    <row r="66" customFormat="false" ht="14.25" hidden="false" customHeight="false" outlineLevel="0" collapsed="false">
      <c r="A66" s="19" t="s">
        <v>374</v>
      </c>
      <c r="B66" s="2" t="n">
        <v>52</v>
      </c>
      <c r="C66" s="2" t="n">
        <v>49</v>
      </c>
      <c r="D66" s="1" t="s">
        <v>375</v>
      </c>
      <c r="F66" s="1" t="s">
        <v>376</v>
      </c>
      <c r="H66" s="1" t="s">
        <v>377</v>
      </c>
      <c r="I66" s="4" t="str">
        <f aca="false">CONCATENATE("http://www.wikidata.org/entity/",H66)</f>
        <v>http://www.wikidata.org/entity/Q123118001</v>
      </c>
      <c r="L66" s="1" t="n">
        <v>300424576</v>
      </c>
      <c r="M66" s="4" t="str">
        <f aca="false">CONCATENATE("https://vocab.getty.edu/aat/",L66)</f>
        <v>https://vocab.getty.edu/aat/300424576</v>
      </c>
      <c r="O66" s="1" t="s">
        <v>378</v>
      </c>
      <c r="P66" s="1" t="s">
        <v>379</v>
      </c>
    </row>
    <row r="67" customFormat="false" ht="14.25" hidden="false" customHeight="false" outlineLevel="0" collapsed="false">
      <c r="A67" s="19" t="s">
        <v>380</v>
      </c>
      <c r="B67" s="2" t="n">
        <v>53</v>
      </c>
      <c r="C67" s="2" t="n">
        <v>47</v>
      </c>
      <c r="D67" s="1" t="s">
        <v>381</v>
      </c>
      <c r="F67" s="1" t="s">
        <v>382</v>
      </c>
      <c r="H67" s="1" t="s">
        <v>383</v>
      </c>
      <c r="I67" s="4" t="str">
        <f aca="false">CONCATENATE("http://www.wikidata.org/entity/",H67)</f>
        <v>http://www.wikidata.org/entity/Q16629185</v>
      </c>
      <c r="J67" s="1" t="s">
        <v>384</v>
      </c>
      <c r="K67" s="4" t="str">
        <f aca="false">CONCATENATE("https://d-nb.info/gnd/",J67)</f>
        <v>https://d-nb.info/gnd/4052032-8</v>
      </c>
      <c r="N67" s="1" t="s">
        <v>385</v>
      </c>
      <c r="O67" s="1" t="s">
        <v>386</v>
      </c>
      <c r="P67" s="1" t="s">
        <v>387</v>
      </c>
    </row>
    <row r="68" customFormat="false" ht="14.25" hidden="false" customHeight="false" outlineLevel="0" collapsed="false">
      <c r="A68" s="19" t="s">
        <v>388</v>
      </c>
      <c r="B68" s="2" t="n">
        <v>54</v>
      </c>
      <c r="C68" s="2" t="n">
        <v>53</v>
      </c>
      <c r="D68" s="1" t="s">
        <v>389</v>
      </c>
      <c r="F68" s="1" t="s">
        <v>390</v>
      </c>
      <c r="H68" s="1" t="s">
        <v>391</v>
      </c>
      <c r="I68" s="4" t="str">
        <f aca="false">CONCATENATE("http://www.wikidata.org/entity/",H68)</f>
        <v>http://www.wikidata.org/entity/Q123118095</v>
      </c>
      <c r="J68" s="1" t="s">
        <v>392</v>
      </c>
      <c r="K68" s="4" t="str">
        <f aca="false">CONCATENATE("https://d-nb.info/gnd/",J68)</f>
        <v>https://d-nb.info/gnd/4135113-7</v>
      </c>
      <c r="O68" s="1" t="s">
        <v>393</v>
      </c>
      <c r="P68" s="1" t="s">
        <v>394</v>
      </c>
    </row>
    <row r="69" customFormat="false" ht="14.25" hidden="false" customHeight="false" outlineLevel="0" collapsed="false">
      <c r="A69" s="19" t="s">
        <v>395</v>
      </c>
      <c r="B69" s="2" t="n">
        <v>55</v>
      </c>
      <c r="C69" s="2" t="n">
        <v>53</v>
      </c>
      <c r="D69" s="1" t="s">
        <v>396</v>
      </c>
      <c r="F69" s="1" t="s">
        <v>397</v>
      </c>
      <c r="H69" s="1" t="s">
        <v>398</v>
      </c>
      <c r="I69" s="4" t="str">
        <f aca="false">CONCATENATE("http://www.wikidata.org/entity/",H69)</f>
        <v>http://www.wikidata.org/entity/Q86816874</v>
      </c>
      <c r="O69" s="1" t="s">
        <v>399</v>
      </c>
      <c r="P69" s="1" t="s">
        <v>400</v>
      </c>
    </row>
    <row r="70" customFormat="false" ht="14.25" hidden="false" customHeight="false" outlineLevel="0" collapsed="false">
      <c r="A70" s="19" t="s">
        <v>401</v>
      </c>
      <c r="B70" s="2" t="n">
        <v>56</v>
      </c>
      <c r="C70" s="2" t="n">
        <v>47</v>
      </c>
      <c r="D70" s="1" t="s">
        <v>402</v>
      </c>
      <c r="F70" s="1" t="s">
        <v>403</v>
      </c>
      <c r="H70" s="1" t="s">
        <v>404</v>
      </c>
      <c r="I70" s="4" t="str">
        <f aca="false">CONCATENATE("http://www.wikidata.org/entity/",H70)</f>
        <v>http://www.wikidata.org/entity/Q1676393</v>
      </c>
      <c r="O70" s="1" t="s">
        <v>405</v>
      </c>
      <c r="P70" s="1" t="s">
        <v>406</v>
      </c>
    </row>
    <row r="71" customFormat="false" ht="14.25" hidden="false" customHeight="false" outlineLevel="0" collapsed="false">
      <c r="A71" s="19" t="s">
        <v>407</v>
      </c>
      <c r="B71" s="2" t="n">
        <v>57</v>
      </c>
      <c r="D71" s="1" t="s">
        <v>408</v>
      </c>
      <c r="F71" s="1" t="s">
        <v>409</v>
      </c>
      <c r="H71" s="1" t="s">
        <v>410</v>
      </c>
      <c r="I71" s="4" t="str">
        <f aca="false">CONCATENATE("http://www.wikidata.org/entity/",H71)</f>
        <v>http://www.wikidata.org/entity/Q123118470</v>
      </c>
      <c r="O71" s="1" t="s">
        <v>409</v>
      </c>
      <c r="P71" s="1" t="s">
        <v>408</v>
      </c>
    </row>
    <row r="72" customFormat="false" ht="14.25" hidden="false" customHeight="false" outlineLevel="0" collapsed="false">
      <c r="A72" s="19" t="s">
        <v>411</v>
      </c>
      <c r="B72" s="2" t="n">
        <v>58</v>
      </c>
      <c r="C72" s="2" t="n">
        <v>57</v>
      </c>
      <c r="D72" s="1" t="s">
        <v>412</v>
      </c>
      <c r="F72" s="1" t="s">
        <v>413</v>
      </c>
      <c r="H72" s="1" t="s">
        <v>414</v>
      </c>
      <c r="I72" s="4" t="str">
        <f aca="false">CONCATENATE("http://www.wikidata.org/entity/",H72)</f>
        <v>http://www.wikidata.org/entity/Q123118513</v>
      </c>
      <c r="J72" s="1" t="s">
        <v>415</v>
      </c>
      <c r="K72" s="4" t="str">
        <f aca="false">CONCATENATE("https://d-nb.info/gnd/",J72)</f>
        <v>https://d-nb.info/gnd/4135867-3</v>
      </c>
      <c r="O72" s="1" t="s">
        <v>416</v>
      </c>
      <c r="P72" s="1" t="s">
        <v>417</v>
      </c>
    </row>
    <row r="73" customFormat="false" ht="14.25" hidden="false" customHeight="false" outlineLevel="0" collapsed="false">
      <c r="A73" s="19" t="s">
        <v>418</v>
      </c>
      <c r="B73" s="2" t="n">
        <v>59</v>
      </c>
      <c r="C73" s="2" t="n">
        <v>58</v>
      </c>
      <c r="D73" s="1" t="s">
        <v>419</v>
      </c>
      <c r="F73" s="1" t="s">
        <v>420</v>
      </c>
      <c r="H73" s="1" t="s">
        <v>421</v>
      </c>
      <c r="I73" s="4" t="str">
        <f aca="false">CONCATENATE("http://www.wikidata.org/entity/",H73)</f>
        <v>http://www.wikidata.org/entity/Q544858</v>
      </c>
      <c r="N73" s="1" t="s">
        <v>422</v>
      </c>
      <c r="O73" s="1" t="s">
        <v>423</v>
      </c>
      <c r="P73" s="1" t="s">
        <v>424</v>
      </c>
    </row>
    <row r="74" customFormat="false" ht="14.25" hidden="false" customHeight="false" outlineLevel="0" collapsed="false">
      <c r="A74" s="19" t="s">
        <v>425</v>
      </c>
      <c r="B74" s="2" t="n">
        <v>60</v>
      </c>
      <c r="C74" s="2" t="n">
        <v>58</v>
      </c>
      <c r="D74" s="1" t="s">
        <v>426</v>
      </c>
      <c r="E74" s="1" t="s">
        <v>427</v>
      </c>
      <c r="F74" s="1" t="s">
        <v>428</v>
      </c>
      <c r="H74" s="1" t="s">
        <v>429</v>
      </c>
      <c r="I74" s="4" t="str">
        <f aca="false">CONCATENATE("http://www.wikidata.org/entity/",H74)</f>
        <v>http://www.wikidata.org/entity/Q149757</v>
      </c>
      <c r="J74" s="1" t="s">
        <v>430</v>
      </c>
      <c r="K74" s="4" t="str">
        <f aca="false">CONCATENATE("https://d-nb.info/gnd/",J74)</f>
        <v>https://d-nb.info/gnd/4036993-6</v>
      </c>
      <c r="O74" s="1" t="s">
        <v>431</v>
      </c>
      <c r="P74" s="1" t="s">
        <v>432</v>
      </c>
    </row>
    <row r="75" customFormat="false" ht="14.25" hidden="false" customHeight="false" outlineLevel="0" collapsed="false">
      <c r="A75" s="19" t="s">
        <v>433</v>
      </c>
      <c r="B75" s="2" t="n">
        <v>61</v>
      </c>
      <c r="C75" s="2" t="n">
        <v>58</v>
      </c>
      <c r="D75" s="1" t="s">
        <v>434</v>
      </c>
      <c r="F75" s="1" t="s">
        <v>434</v>
      </c>
      <c r="H75" s="1" t="s">
        <v>435</v>
      </c>
      <c r="I75" s="4" t="str">
        <f aca="false">CONCATENATE("http://www.wikidata.org/entity/",H75)</f>
        <v>http://www.wikidata.org/entity/Q122763527</v>
      </c>
      <c r="O75" s="1" t="s">
        <v>436</v>
      </c>
      <c r="P75" s="1" t="s">
        <v>437</v>
      </c>
    </row>
    <row r="76" customFormat="false" ht="14.25" hidden="false" customHeight="false" outlineLevel="0" collapsed="false">
      <c r="A76" s="19" t="s">
        <v>438</v>
      </c>
      <c r="B76" s="2" t="n">
        <v>62</v>
      </c>
      <c r="C76" s="2" t="n">
        <v>58</v>
      </c>
      <c r="D76" s="1" t="s">
        <v>439</v>
      </c>
      <c r="E76" s="1" t="s">
        <v>440</v>
      </c>
      <c r="F76" s="1" t="s">
        <v>441</v>
      </c>
      <c r="H76" s="1" t="s">
        <v>442</v>
      </c>
      <c r="I76" s="4" t="str">
        <f aca="false">CONCATENATE("http://www.wikidata.org/entity/",H76)</f>
        <v>http://www.wikidata.org/entity/Q1936845</v>
      </c>
      <c r="L76" s="1" t="n">
        <v>300310081</v>
      </c>
      <c r="M76" s="4" t="str">
        <f aca="false">CONCATENATE("https://vocab.getty.edu/aat/",L76)</f>
        <v>https://vocab.getty.edu/aat/300310081</v>
      </c>
      <c r="N76" s="1" t="s">
        <v>443</v>
      </c>
      <c r="O76" s="1" t="s">
        <v>444</v>
      </c>
      <c r="P76" s="1" t="s">
        <v>445</v>
      </c>
    </row>
    <row r="77" customFormat="false" ht="14.25" hidden="false" customHeight="false" outlineLevel="0" collapsed="false">
      <c r="A77" s="19" t="s">
        <v>446</v>
      </c>
      <c r="B77" s="2" t="n">
        <v>63</v>
      </c>
      <c r="C77" s="2" t="n">
        <v>58</v>
      </c>
      <c r="D77" s="1" t="s">
        <v>447</v>
      </c>
      <c r="E77" s="1" t="s">
        <v>448</v>
      </c>
      <c r="F77" s="1" t="s">
        <v>449</v>
      </c>
      <c r="H77" s="1" t="s">
        <v>450</v>
      </c>
      <c r="I77" s="4" t="str">
        <f aca="false">CONCATENATE("http://www.wikidata.org/entity/",H77)</f>
        <v>http://www.wikidata.org/entity/Q1509636</v>
      </c>
      <c r="O77" s="1" t="s">
        <v>451</v>
      </c>
      <c r="P77" s="1" t="s">
        <v>452</v>
      </c>
    </row>
    <row r="78" customFormat="false" ht="14.25" hidden="false" customHeight="false" outlineLevel="0" collapsed="false">
      <c r="A78" s="19" t="s">
        <v>453</v>
      </c>
      <c r="B78" s="2" t="n">
        <v>64</v>
      </c>
      <c r="C78" s="2" t="n">
        <v>58</v>
      </c>
      <c r="D78" s="1" t="s">
        <v>454</v>
      </c>
      <c r="F78" s="1" t="s">
        <v>454</v>
      </c>
      <c r="H78" s="1" t="s">
        <v>455</v>
      </c>
      <c r="I78" s="4" t="str">
        <f aca="false">CONCATENATE("http://www.wikidata.org/entity/",H78)</f>
        <v>http://www.wikidata.org/entity/Q7191037</v>
      </c>
      <c r="O78" s="1" t="s">
        <v>456</v>
      </c>
      <c r="P78" s="1" t="s">
        <v>457</v>
      </c>
    </row>
    <row r="79" customFormat="false" ht="14.25" hidden="false" customHeight="false" outlineLevel="0" collapsed="false">
      <c r="A79" s="19" t="s">
        <v>458</v>
      </c>
      <c r="B79" s="2" t="n">
        <v>65</v>
      </c>
      <c r="C79" s="2" t="n">
        <v>58</v>
      </c>
      <c r="D79" s="1" t="s">
        <v>459</v>
      </c>
      <c r="E79" s="1" t="s">
        <v>460</v>
      </c>
      <c r="F79" s="1" t="s">
        <v>459</v>
      </c>
      <c r="H79" s="1" t="s">
        <v>461</v>
      </c>
      <c r="I79" s="4" t="str">
        <f aca="false">CONCATENATE("http://www.wikidata.org/entity/",H79)</f>
        <v>http://www.wikidata.org/entity/Q2340980</v>
      </c>
      <c r="O79" s="1" t="s">
        <v>462</v>
      </c>
      <c r="P79" s="1" t="s">
        <v>463</v>
      </c>
    </row>
    <row r="80" customFormat="false" ht="14.25" hidden="false" customHeight="false" outlineLevel="0" collapsed="false">
      <c r="A80" s="19" t="s">
        <v>464</v>
      </c>
      <c r="B80" s="2" t="n">
        <v>66</v>
      </c>
      <c r="C80" s="2" t="n">
        <v>58</v>
      </c>
      <c r="D80" s="1" t="s">
        <v>465</v>
      </c>
      <c r="E80" s="1" t="s">
        <v>466</v>
      </c>
      <c r="F80" s="1" t="s">
        <v>465</v>
      </c>
      <c r="G80" s="1" t="s">
        <v>467</v>
      </c>
      <c r="H80" s="1" t="s">
        <v>468</v>
      </c>
      <c r="I80" s="4" t="str">
        <f aca="false">CONCATENATE("http://www.wikidata.org/entity/",H80)</f>
        <v>http://www.wikidata.org/entity/Q7611194</v>
      </c>
      <c r="O80" s="1" t="s">
        <v>469</v>
      </c>
      <c r="P80" s="1" t="s">
        <v>470</v>
      </c>
    </row>
    <row r="81" customFormat="false" ht="14.25" hidden="false" customHeight="false" outlineLevel="0" collapsed="false">
      <c r="A81" s="19" t="s">
        <v>471</v>
      </c>
      <c r="B81" s="2" t="n">
        <v>67</v>
      </c>
      <c r="C81" s="2" t="n">
        <v>58</v>
      </c>
      <c r="D81" s="1" t="s">
        <v>472</v>
      </c>
      <c r="E81" s="1" t="s">
        <v>473</v>
      </c>
      <c r="F81" s="1" t="s">
        <v>474</v>
      </c>
      <c r="G81" s="1" t="s">
        <v>475</v>
      </c>
      <c r="H81" s="1" t="s">
        <v>476</v>
      </c>
      <c r="I81" s="4" t="str">
        <f aca="false">CONCATENATE("http://www.wikidata.org/entity/",H81)</f>
        <v>http://www.wikidata.org/entity/Q270171</v>
      </c>
      <c r="J81" s="1" t="s">
        <v>477</v>
      </c>
      <c r="K81" s="4" t="str">
        <f aca="false">CONCATENATE("https://d-nb.info/gnd/",J81)</f>
        <v>https://d-nb.info/gnd/7690297-3</v>
      </c>
      <c r="L81" s="1" t="n">
        <v>300423982</v>
      </c>
      <c r="M81" s="4" t="str">
        <f aca="false">CONCATENATE("https://vocab.getty.edu/aat/",L81)</f>
        <v>https://vocab.getty.edu/aat/300423982</v>
      </c>
      <c r="N81" s="1" t="s">
        <v>478</v>
      </c>
      <c r="O81" s="1" t="s">
        <v>479</v>
      </c>
      <c r="P81" s="1" t="s">
        <v>480</v>
      </c>
    </row>
    <row r="82" customFormat="false" ht="14.25" hidden="false" customHeight="false" outlineLevel="0" collapsed="false">
      <c r="A82" s="19" t="s">
        <v>481</v>
      </c>
      <c r="B82" s="2" t="n">
        <v>68</v>
      </c>
      <c r="C82" s="2" t="n">
        <v>57</v>
      </c>
      <c r="D82" s="1" t="s">
        <v>482</v>
      </c>
      <c r="E82" s="1" t="s">
        <v>483</v>
      </c>
      <c r="F82" s="1" t="s">
        <v>484</v>
      </c>
      <c r="H82" s="1" t="s">
        <v>485</v>
      </c>
      <c r="I82" s="4" t="str">
        <f aca="false">CONCATENATE("http://www.wikidata.org/entity/",H82)</f>
        <v>http://www.wikidata.org/entity/Q1416388</v>
      </c>
      <c r="O82" s="1" t="s">
        <v>486</v>
      </c>
      <c r="P82" s="1" t="s">
        <v>487</v>
      </c>
    </row>
    <row r="83" customFormat="false" ht="14.25" hidden="false" customHeight="false" outlineLevel="0" collapsed="false">
      <c r="A83" s="19" t="s">
        <v>488</v>
      </c>
      <c r="B83" s="2" t="n">
        <v>69</v>
      </c>
      <c r="C83" s="2" t="n">
        <v>57</v>
      </c>
      <c r="D83" s="1" t="s">
        <v>489</v>
      </c>
      <c r="F83" s="1" t="s">
        <v>490</v>
      </c>
      <c r="G83" s="1" t="s">
        <v>491</v>
      </c>
      <c r="H83" s="1" t="s">
        <v>492</v>
      </c>
      <c r="I83" s="4" t="str">
        <f aca="false">CONCATENATE("http://www.wikidata.org/entity/",H83)</f>
        <v>http://www.wikidata.org/entity/Q116822101</v>
      </c>
      <c r="N83" s="1" t="s">
        <v>493</v>
      </c>
      <c r="O83" s="1" t="s">
        <v>494</v>
      </c>
      <c r="P83" s="1" t="s">
        <v>495</v>
      </c>
    </row>
    <row r="84" customFormat="false" ht="14.25" hidden="false" customHeight="false" outlineLevel="0" collapsed="false">
      <c r="A84" s="19" t="s">
        <v>496</v>
      </c>
      <c r="B84" s="2" t="n">
        <v>70</v>
      </c>
      <c r="D84" s="1" t="s">
        <v>497</v>
      </c>
      <c r="F84" s="1" t="s">
        <v>498</v>
      </c>
      <c r="H84" s="1" t="s">
        <v>499</v>
      </c>
      <c r="I84" s="4" t="str">
        <f aca="false">CONCATENATE("http://www.wikidata.org/entity/",H84)</f>
        <v>http://www.wikidata.org/entity/Q123118558</v>
      </c>
      <c r="O84" s="1" t="s">
        <v>498</v>
      </c>
      <c r="P84" s="1" t="s">
        <v>497</v>
      </c>
    </row>
    <row r="85" customFormat="false" ht="14.25" hidden="false" customHeight="false" outlineLevel="0" collapsed="false">
      <c r="A85" s="19" t="s">
        <v>500</v>
      </c>
      <c r="B85" s="2" t="n">
        <v>71</v>
      </c>
      <c r="C85" s="2" t="n">
        <v>70</v>
      </c>
      <c r="D85" s="1" t="s">
        <v>501</v>
      </c>
      <c r="E85" s="1" t="s">
        <v>502</v>
      </c>
      <c r="F85" s="1" t="s">
        <v>503</v>
      </c>
      <c r="G85" s="1" t="s">
        <v>504</v>
      </c>
      <c r="H85" s="1" t="s">
        <v>505</v>
      </c>
      <c r="I85" s="4" t="str">
        <f aca="false">CONCATENATE("http://www.wikidata.org/entity/",H85)</f>
        <v>http://www.wikidata.org/entity/Q1004803</v>
      </c>
      <c r="O85" s="1" t="s">
        <v>506</v>
      </c>
      <c r="P85" s="1" t="s">
        <v>507</v>
      </c>
    </row>
    <row r="86" customFormat="false" ht="14.25" hidden="false" customHeight="false" outlineLevel="0" collapsed="false">
      <c r="A86" s="19" t="s">
        <v>508</v>
      </c>
      <c r="B86" s="2" t="n">
        <v>72</v>
      </c>
      <c r="D86" s="1" t="s">
        <v>509</v>
      </c>
      <c r="F86" s="1" t="s">
        <v>510</v>
      </c>
      <c r="H86" s="1" t="s">
        <v>511</v>
      </c>
      <c r="I86" s="4" t="str">
        <f aca="false">CONCATENATE("http://www.wikidata.org/entity/",H86)</f>
        <v>http://www.wikidata.org/entity/Q123118716</v>
      </c>
      <c r="O86" s="1" t="s">
        <v>510</v>
      </c>
      <c r="P86" s="1" t="s">
        <v>509</v>
      </c>
    </row>
    <row r="87" customFormat="false" ht="14.25" hidden="false" customHeight="false" outlineLevel="0" collapsed="false">
      <c r="A87" s="19" t="s">
        <v>512</v>
      </c>
      <c r="B87" s="2" t="n">
        <v>73</v>
      </c>
      <c r="C87" s="2" t="n">
        <v>72</v>
      </c>
      <c r="D87" s="1" t="s">
        <v>513</v>
      </c>
      <c r="F87" s="1" t="s">
        <v>514</v>
      </c>
      <c r="H87" s="1" t="s">
        <v>515</v>
      </c>
      <c r="I87" s="4" t="str">
        <f aca="false">CONCATENATE("http://www.wikidata.org/entity/",H87)</f>
        <v>http://www.wikidata.org/entity/Q123118830</v>
      </c>
      <c r="O87" s="1" t="s">
        <v>516</v>
      </c>
      <c r="P87" s="1" t="s">
        <v>517</v>
      </c>
    </row>
    <row r="88" customFormat="false" ht="14.25" hidden="false" customHeight="false" outlineLevel="0" collapsed="false">
      <c r="A88" s="19" t="s">
        <v>518</v>
      </c>
      <c r="B88" s="2" t="n">
        <v>74</v>
      </c>
      <c r="C88" s="2" t="n">
        <v>73</v>
      </c>
      <c r="D88" s="1" t="s">
        <v>519</v>
      </c>
      <c r="F88" s="1" t="s">
        <v>520</v>
      </c>
      <c r="H88" s="1" t="s">
        <v>521</v>
      </c>
      <c r="I88" s="4" t="str">
        <f aca="false">CONCATENATE("http://www.wikidata.org/entity/",H88)</f>
        <v>http://www.wikidata.org/entity/Q497444</v>
      </c>
      <c r="O88" s="1" t="s">
        <v>522</v>
      </c>
      <c r="P88" s="1" t="s">
        <v>523</v>
      </c>
    </row>
    <row r="89" customFormat="false" ht="14.25" hidden="false" customHeight="false" outlineLevel="0" collapsed="false">
      <c r="A89" s="19" t="s">
        <v>524</v>
      </c>
      <c r="B89" s="2" t="n">
        <v>75</v>
      </c>
      <c r="C89" s="2" t="n">
        <v>73</v>
      </c>
      <c r="D89" s="1" t="s">
        <v>525</v>
      </c>
      <c r="F89" s="1" t="s">
        <v>526</v>
      </c>
      <c r="H89" s="1" t="s">
        <v>527</v>
      </c>
      <c r="I89" s="4" t="str">
        <f aca="false">CONCATENATE("http://www.wikidata.org/entity/",H89)</f>
        <v>http://www.wikidata.org/entity/Q7246653</v>
      </c>
      <c r="O89" s="1" t="s">
        <v>528</v>
      </c>
      <c r="P89" s="1" t="s">
        <v>529</v>
      </c>
    </row>
    <row r="90" customFormat="false" ht="14.25" hidden="false" customHeight="false" outlineLevel="0" collapsed="false">
      <c r="A90" s="19" t="s">
        <v>530</v>
      </c>
      <c r="B90" s="2" t="n">
        <v>76</v>
      </c>
      <c r="C90" s="2" t="n">
        <v>73</v>
      </c>
      <c r="D90" s="1" t="s">
        <v>531</v>
      </c>
      <c r="F90" s="1" t="s">
        <v>531</v>
      </c>
      <c r="H90" s="1" t="s">
        <v>532</v>
      </c>
      <c r="I90" s="4" t="str">
        <f aca="false">CONCATENATE("http://www.wikidata.org/entity/",H90)</f>
        <v>http://www.wikidata.org/entity/Q123119962</v>
      </c>
      <c r="N90" s="1" t="s">
        <v>533</v>
      </c>
      <c r="O90" s="1" t="s">
        <v>534</v>
      </c>
      <c r="P90" s="1" t="s">
        <v>535</v>
      </c>
    </row>
    <row r="91" customFormat="false" ht="14.25" hidden="false" customHeight="false" outlineLevel="0" collapsed="false">
      <c r="A91" s="19" t="s">
        <v>536</v>
      </c>
      <c r="B91" s="2" t="n">
        <v>77</v>
      </c>
      <c r="C91" s="2" t="n">
        <v>73</v>
      </c>
      <c r="D91" s="1" t="s">
        <v>537</v>
      </c>
      <c r="F91" s="1" t="s">
        <v>537</v>
      </c>
      <c r="H91" s="1" t="s">
        <v>538</v>
      </c>
      <c r="I91" s="4" t="str">
        <f aca="false">CONCATENATE("http://www.wikidata.org/entity/",H91)</f>
        <v>http://www.wikidata.org/entity/Q123120037</v>
      </c>
      <c r="N91" s="1" t="s">
        <v>539</v>
      </c>
      <c r="O91" s="1" t="s">
        <v>540</v>
      </c>
      <c r="P91" s="1" t="s">
        <v>541</v>
      </c>
    </row>
    <row r="92" customFormat="false" ht="14.25" hidden="false" customHeight="false" outlineLevel="0" collapsed="false">
      <c r="A92" s="19" t="s">
        <v>542</v>
      </c>
      <c r="B92" s="2" t="n">
        <v>78</v>
      </c>
      <c r="C92" s="2" t="n">
        <v>73</v>
      </c>
      <c r="D92" s="1" t="s">
        <v>543</v>
      </c>
      <c r="F92" s="1" t="s">
        <v>543</v>
      </c>
      <c r="H92" s="1" t="s">
        <v>544</v>
      </c>
      <c r="I92" s="4" t="str">
        <f aca="false">CONCATENATE("http://www.wikidata.org/entity/",H92)</f>
        <v>http://www.wikidata.org/entity/Q123120103</v>
      </c>
      <c r="N92" s="1" t="s">
        <v>545</v>
      </c>
      <c r="O92" s="1" t="s">
        <v>546</v>
      </c>
      <c r="P92" s="1" t="s">
        <v>547</v>
      </c>
    </row>
    <row r="93" customFormat="false" ht="14.25" hidden="false" customHeight="false" outlineLevel="0" collapsed="false">
      <c r="A93" s="19" t="s">
        <v>548</v>
      </c>
      <c r="B93" s="2" t="n">
        <v>79</v>
      </c>
      <c r="C93" s="2" t="n">
        <v>73</v>
      </c>
      <c r="D93" s="1" t="s">
        <v>549</v>
      </c>
      <c r="F93" s="1" t="s">
        <v>549</v>
      </c>
      <c r="H93" s="1" t="s">
        <v>550</v>
      </c>
      <c r="I93" s="4" t="str">
        <f aca="false">CONCATENATE("http://www.wikidata.org/entity/",H93)</f>
        <v>http://www.wikidata.org/entity/Q597615</v>
      </c>
      <c r="N93" s="1" t="s">
        <v>551</v>
      </c>
      <c r="O93" s="1" t="s">
        <v>552</v>
      </c>
      <c r="P93" s="1" t="s">
        <v>553</v>
      </c>
    </row>
    <row r="94" customFormat="false" ht="14.25" hidden="false" customHeight="false" outlineLevel="0" collapsed="false">
      <c r="A94" s="19" t="s">
        <v>554</v>
      </c>
      <c r="B94" s="2" t="n">
        <v>80</v>
      </c>
      <c r="C94" s="2" t="n">
        <v>73</v>
      </c>
      <c r="D94" s="1" t="s">
        <v>555</v>
      </c>
      <c r="E94" s="1" t="s">
        <v>556</v>
      </c>
      <c r="F94" s="1" t="s">
        <v>555</v>
      </c>
      <c r="H94" s="1" t="s">
        <v>557</v>
      </c>
      <c r="I94" s="4" t="str">
        <f aca="false">CONCATENATE("http://www.wikidata.org/entity/",H94)</f>
        <v>http://www.wikidata.org/entity/Q959675</v>
      </c>
      <c r="O94" s="1" t="s">
        <v>558</v>
      </c>
      <c r="P94" s="1" t="s">
        <v>559</v>
      </c>
    </row>
    <row r="95" customFormat="false" ht="14.25" hidden="false" customHeight="false" outlineLevel="0" collapsed="false">
      <c r="A95" s="19" t="s">
        <v>560</v>
      </c>
      <c r="B95" s="2" t="n">
        <v>81</v>
      </c>
      <c r="C95" s="2" t="n">
        <v>73</v>
      </c>
      <c r="D95" s="1" t="s">
        <v>561</v>
      </c>
      <c r="E95" s="1" t="s">
        <v>562</v>
      </c>
      <c r="F95" s="1" t="s">
        <v>561</v>
      </c>
      <c r="H95" s="1" t="s">
        <v>563</v>
      </c>
      <c r="I95" s="4" t="str">
        <f aca="false">CONCATENATE("http://www.wikidata.org/entity/",H95)</f>
        <v>http://www.wikidata.org/entity/Q938907</v>
      </c>
      <c r="N95" s="1" t="s">
        <v>564</v>
      </c>
      <c r="O95" s="1" t="s">
        <v>565</v>
      </c>
      <c r="P95" s="1" t="s">
        <v>566</v>
      </c>
    </row>
    <row r="96" customFormat="false" ht="14.25" hidden="false" customHeight="false" outlineLevel="0" collapsed="false">
      <c r="A96" s="19" t="s">
        <v>567</v>
      </c>
      <c r="B96" s="2" t="n">
        <v>82</v>
      </c>
      <c r="C96" s="2" t="n">
        <v>73</v>
      </c>
      <c r="D96" s="1" t="s">
        <v>568</v>
      </c>
      <c r="E96" s="1" t="s">
        <v>569</v>
      </c>
      <c r="F96" s="1" t="s">
        <v>568</v>
      </c>
      <c r="H96" s="1" t="s">
        <v>570</v>
      </c>
      <c r="I96" s="4" t="str">
        <f aca="false">CONCATENATE("http://www.wikidata.org/entity/",H96)</f>
        <v>http://www.wikidata.org/entity/Q598944</v>
      </c>
      <c r="O96" s="1" t="s">
        <v>571</v>
      </c>
      <c r="P96" s="1" t="s">
        <v>572</v>
      </c>
    </row>
    <row r="97" customFormat="false" ht="14.25" hidden="false" customHeight="false" outlineLevel="0" collapsed="false">
      <c r="A97" s="19" t="s">
        <v>573</v>
      </c>
      <c r="B97" s="2" t="n">
        <v>83</v>
      </c>
      <c r="C97" s="2" t="n">
        <v>73</v>
      </c>
      <c r="D97" s="1" t="s">
        <v>574</v>
      </c>
      <c r="F97" s="1" t="s">
        <v>575</v>
      </c>
      <c r="G97" s="1" t="s">
        <v>576</v>
      </c>
      <c r="H97" s="1" t="s">
        <v>577</v>
      </c>
      <c r="I97" s="4" t="str">
        <f aca="false">CONCATENATE("http://www.wikidata.org/entity/",H97)</f>
        <v>http://www.wikidata.org/entity/Q1961581</v>
      </c>
      <c r="O97" s="1" t="s">
        <v>578</v>
      </c>
      <c r="P97" s="1" t="s">
        <v>579</v>
      </c>
    </row>
    <row r="98" customFormat="false" ht="14.25" hidden="false" customHeight="false" outlineLevel="0" collapsed="false">
      <c r="A98" s="19" t="s">
        <v>580</v>
      </c>
      <c r="B98" s="2" t="n">
        <v>84</v>
      </c>
      <c r="C98" s="2" t="n">
        <v>72</v>
      </c>
      <c r="D98" s="1" t="s">
        <v>581</v>
      </c>
      <c r="F98" s="1" t="s">
        <v>582</v>
      </c>
      <c r="H98" s="1" t="s">
        <v>583</v>
      </c>
      <c r="I98" s="4" t="str">
        <f aca="false">CONCATENATE("http://www.wikidata.org/entity/",H98)</f>
        <v>http://www.wikidata.org/entity/Q123120227</v>
      </c>
      <c r="O98" s="1" t="s">
        <v>584</v>
      </c>
      <c r="P98" s="1" t="s">
        <v>585</v>
      </c>
    </row>
    <row r="99" customFormat="false" ht="14.25" hidden="false" customHeight="false" outlineLevel="0" collapsed="false">
      <c r="A99" s="19" t="s">
        <v>586</v>
      </c>
      <c r="B99" s="2" t="n">
        <v>85</v>
      </c>
      <c r="C99" s="2" t="n">
        <v>84</v>
      </c>
      <c r="D99" s="1" t="s">
        <v>587</v>
      </c>
      <c r="E99" s="1" t="s">
        <v>588</v>
      </c>
      <c r="F99" s="1" t="s">
        <v>589</v>
      </c>
      <c r="H99" s="1" t="s">
        <v>590</v>
      </c>
      <c r="I99" s="4" t="str">
        <f aca="false">CONCATENATE("http://www.wikidata.org/entity/",H99)</f>
        <v>http://www.wikidata.org/entity/Q1121020</v>
      </c>
      <c r="J99" s="1" t="s">
        <v>591</v>
      </c>
      <c r="K99" s="4" t="str">
        <f aca="false">CONCATENATE("https://d-nb.info/gnd/",J99)</f>
        <v>https://d-nb.info/gnd/4346365-4</v>
      </c>
      <c r="N99" s="1" t="s">
        <v>592</v>
      </c>
      <c r="O99" s="1" t="s">
        <v>593</v>
      </c>
      <c r="P99" s="1" t="s">
        <v>594</v>
      </c>
    </row>
    <row r="100" customFormat="false" ht="14.25" hidden="false" customHeight="false" outlineLevel="0" collapsed="false">
      <c r="A100" s="19" t="s">
        <v>595</v>
      </c>
      <c r="B100" s="2" t="n">
        <v>86</v>
      </c>
      <c r="C100" s="2" t="n">
        <v>84</v>
      </c>
      <c r="D100" s="1" t="s">
        <v>596</v>
      </c>
      <c r="F100" s="1" t="s">
        <v>596</v>
      </c>
      <c r="H100" s="1" t="s">
        <v>597</v>
      </c>
      <c r="I100" s="4" t="str">
        <f aca="false">CONCATENATE("http://www.wikidata.org/entity/",H100)</f>
        <v>http://www.wikidata.org/entity/Q123120280</v>
      </c>
      <c r="O100" s="1" t="s">
        <v>598</v>
      </c>
      <c r="P100" s="1" t="s">
        <v>599</v>
      </c>
    </row>
    <row r="101" customFormat="false" ht="14.25" hidden="false" customHeight="false" outlineLevel="0" collapsed="false">
      <c r="A101" s="19" t="s">
        <v>600</v>
      </c>
      <c r="B101" s="2" t="n">
        <v>87</v>
      </c>
      <c r="C101" s="2" t="n">
        <v>84</v>
      </c>
      <c r="D101" s="1" t="s">
        <v>601</v>
      </c>
      <c r="E101" s="1" t="s">
        <v>602</v>
      </c>
      <c r="F101" s="1" t="s">
        <v>601</v>
      </c>
      <c r="H101" s="1" t="s">
        <v>603</v>
      </c>
      <c r="I101" s="4" t="str">
        <f aca="false">CONCATENATE("http://www.wikidata.org/entity/",H101)</f>
        <v>http://www.wikidata.org/entity/Q212960</v>
      </c>
      <c r="N101" s="1" t="s">
        <v>604</v>
      </c>
      <c r="O101" s="1" t="s">
        <v>605</v>
      </c>
      <c r="P101" s="1" t="s">
        <v>606</v>
      </c>
    </row>
    <row r="102" customFormat="false" ht="14.25" hidden="false" customHeight="false" outlineLevel="0" collapsed="false">
      <c r="A102" s="19" t="s">
        <v>607</v>
      </c>
      <c r="B102" s="2" t="n">
        <v>88</v>
      </c>
      <c r="C102" s="2" t="n">
        <v>84</v>
      </c>
      <c r="D102" s="1" t="s">
        <v>608</v>
      </c>
      <c r="E102" s="1" t="s">
        <v>609</v>
      </c>
      <c r="F102" s="1" t="s">
        <v>608</v>
      </c>
      <c r="H102" s="1" t="s">
        <v>610</v>
      </c>
      <c r="I102" s="4" t="str">
        <f aca="false">CONCATENATE("http://www.wikidata.org/entity/",H102)</f>
        <v>http://www.wikidata.org/entity/Q117678</v>
      </c>
      <c r="J102" s="1" t="s">
        <v>611</v>
      </c>
      <c r="K102" s="4" t="str">
        <f aca="false">CONCATENATE("https://d-nb.info/gnd/",J102)</f>
        <v>https://d-nb.info/gnd/4585129-3</v>
      </c>
      <c r="O102" s="1" t="s">
        <v>612</v>
      </c>
      <c r="P102" s="1" t="s">
        <v>613</v>
      </c>
    </row>
    <row r="103" customFormat="false" ht="14.25" hidden="false" customHeight="false" outlineLevel="0" collapsed="false">
      <c r="A103" s="19" t="s">
        <v>614</v>
      </c>
      <c r="B103" s="2" t="n">
        <v>89</v>
      </c>
      <c r="C103" s="2" t="n">
        <v>84</v>
      </c>
      <c r="D103" s="1" t="s">
        <v>615</v>
      </c>
      <c r="E103" s="1" t="s">
        <v>616</v>
      </c>
      <c r="F103" s="1" t="s">
        <v>615</v>
      </c>
      <c r="H103" s="1" t="s">
        <v>617</v>
      </c>
      <c r="I103" s="4" t="str">
        <f aca="false">CONCATENATE("http://www.wikidata.org/entity/",H103)</f>
        <v>http://www.wikidata.org/entity/Q17029503</v>
      </c>
      <c r="J103" s="1" t="n">
        <v>1070506834</v>
      </c>
      <c r="K103" s="4" t="str">
        <f aca="false">CONCATENATE("https://d-nb.info/gnd/",J103)</f>
        <v>https://d-nb.info/gnd/1070506834</v>
      </c>
      <c r="O103" s="1" t="s">
        <v>618</v>
      </c>
      <c r="P103" s="1" t="s">
        <v>619</v>
      </c>
    </row>
    <row r="104" customFormat="false" ht="14.25" hidden="false" customHeight="false" outlineLevel="0" collapsed="false">
      <c r="A104" s="19" t="s">
        <v>620</v>
      </c>
      <c r="B104" s="2" t="n">
        <v>90</v>
      </c>
      <c r="C104" s="2" t="n">
        <v>72</v>
      </c>
      <c r="D104" s="1" t="s">
        <v>621</v>
      </c>
      <c r="E104" s="1" t="s">
        <v>622</v>
      </c>
      <c r="F104" s="1" t="s">
        <v>621</v>
      </c>
      <c r="H104" s="1" t="s">
        <v>623</v>
      </c>
      <c r="I104" s="4" t="str">
        <f aca="false">CONCATENATE("http://www.wikidata.org/entity/",H104)</f>
        <v>http://www.wikidata.org/entity/Q275079</v>
      </c>
      <c r="J104" s="1" t="s">
        <v>624</v>
      </c>
      <c r="K104" s="4" t="str">
        <f aca="false">CONCATENATE("https://d-nb.info/gnd/",J104)</f>
        <v>https://d-nb.info/gnd/4644982-6</v>
      </c>
      <c r="O104" s="1" t="s">
        <v>625</v>
      </c>
      <c r="P104" s="1" t="s">
        <v>626</v>
      </c>
    </row>
    <row r="105" customFormat="false" ht="14.25" hidden="false" customHeight="false" outlineLevel="0" collapsed="false">
      <c r="A105" s="19" t="s">
        <v>627</v>
      </c>
      <c r="B105" s="2" t="n">
        <v>91</v>
      </c>
      <c r="D105" s="1" t="s">
        <v>628</v>
      </c>
      <c r="E105" s="1" t="s">
        <v>629</v>
      </c>
      <c r="F105" s="1" t="s">
        <v>630</v>
      </c>
      <c r="G105" s="1" t="s">
        <v>631</v>
      </c>
      <c r="H105" s="1" t="s">
        <v>632</v>
      </c>
      <c r="I105" s="4" t="str">
        <f aca="false">CONCATENATE("http://www.wikidata.org/entity/",H105)</f>
        <v>http://www.wikidata.org/entity/Q110968856</v>
      </c>
      <c r="N105" s="1" t="s">
        <v>633</v>
      </c>
      <c r="O105" s="1" t="s">
        <v>630</v>
      </c>
      <c r="P105" s="1" t="s">
        <v>628</v>
      </c>
    </row>
    <row r="106" customFormat="false" ht="14.25" hidden="false" customHeight="false" outlineLevel="0" collapsed="false">
      <c r="A106" s="19" t="s">
        <v>634</v>
      </c>
      <c r="B106" s="2" t="n">
        <v>92</v>
      </c>
      <c r="C106" s="2" t="n">
        <v>91</v>
      </c>
      <c r="D106" s="1" t="s">
        <v>635</v>
      </c>
      <c r="E106" s="1" t="s">
        <v>636</v>
      </c>
      <c r="F106" s="1" t="s">
        <v>637</v>
      </c>
      <c r="H106" s="1" t="s">
        <v>638</v>
      </c>
      <c r="I106" s="4" t="str">
        <f aca="false">CONCATENATE("http://www.wikidata.org/entity/",H106)</f>
        <v>http://www.wikidata.org/entity/Q270183</v>
      </c>
      <c r="N106" s="1" t="s">
        <v>639</v>
      </c>
      <c r="O106" s="1" t="s">
        <v>640</v>
      </c>
      <c r="P106" s="1" t="s">
        <v>641</v>
      </c>
    </row>
    <row r="107" customFormat="false" ht="14.25" hidden="false" customHeight="false" outlineLevel="0" collapsed="false">
      <c r="A107" s="19" t="s">
        <v>642</v>
      </c>
      <c r="B107" s="2" t="n">
        <v>93</v>
      </c>
      <c r="C107" s="2" t="n">
        <v>91</v>
      </c>
      <c r="D107" s="1" t="s">
        <v>643</v>
      </c>
      <c r="F107" s="1" t="s">
        <v>644</v>
      </c>
      <c r="H107" s="1" t="s">
        <v>638</v>
      </c>
      <c r="I107" s="4" t="str">
        <f aca="false">CONCATENATE("http://www.wikidata.org/entity/",H107)</f>
        <v>http://www.wikidata.org/entity/Q270183</v>
      </c>
      <c r="N107" s="1" t="s">
        <v>639</v>
      </c>
      <c r="O107" s="1" t="s">
        <v>645</v>
      </c>
      <c r="P107" s="1" t="s">
        <v>646</v>
      </c>
    </row>
    <row r="108" customFormat="false" ht="14.25" hidden="false" customHeight="false" outlineLevel="0" collapsed="false">
      <c r="A108" s="19" t="s">
        <v>647</v>
      </c>
      <c r="B108" s="2" t="n">
        <v>94</v>
      </c>
      <c r="C108" s="2" t="n">
        <v>91</v>
      </c>
      <c r="D108" s="1" t="s">
        <v>648</v>
      </c>
      <c r="E108" s="1" t="s">
        <v>649</v>
      </c>
      <c r="F108" s="1" t="s">
        <v>650</v>
      </c>
      <c r="H108" s="1" t="s">
        <v>651</v>
      </c>
      <c r="I108" s="4" t="str">
        <f aca="false">CONCATENATE("http://www.wikidata.org/entity/",H108)</f>
        <v>http://www.wikidata.org/entity/Q1412320</v>
      </c>
      <c r="L108" s="1" t="n">
        <v>300263860</v>
      </c>
      <c r="M108" s="4" t="str">
        <f aca="false">CONCATENATE("https://vocab.getty.edu/aat/",L108)</f>
        <v>https://vocab.getty.edu/aat/300263860</v>
      </c>
      <c r="N108" s="1" t="s">
        <v>652</v>
      </c>
      <c r="O108" s="1" t="s">
        <v>653</v>
      </c>
      <c r="P108" s="1" t="s">
        <v>654</v>
      </c>
    </row>
    <row r="109" customFormat="false" ht="14.25" hidden="false" customHeight="false" outlineLevel="0" collapsed="false">
      <c r="A109" s="19" t="s">
        <v>655</v>
      </c>
      <c r="B109" s="2" t="n">
        <v>95</v>
      </c>
      <c r="C109" s="2" t="n">
        <v>91</v>
      </c>
      <c r="D109" s="1" t="s">
        <v>656</v>
      </c>
      <c r="E109" s="1" t="s">
        <v>657</v>
      </c>
      <c r="F109" s="1" t="s">
        <v>656</v>
      </c>
      <c r="H109" s="1" t="s">
        <v>658</v>
      </c>
      <c r="I109" s="4" t="str">
        <f aca="false">CONCATENATE("http://www.wikidata.org/entity/",H109)</f>
        <v>http://www.wikidata.org/entity/Q275007</v>
      </c>
      <c r="N109" s="1" t="s">
        <v>659</v>
      </c>
      <c r="O109" s="1" t="s">
        <v>660</v>
      </c>
      <c r="P109" s="1" t="s">
        <v>661</v>
      </c>
    </row>
    <row r="110" customFormat="false" ht="14.25" hidden="false" customHeight="false" outlineLevel="0" collapsed="false">
      <c r="A110" s="19" t="s">
        <v>662</v>
      </c>
      <c r="B110" s="2" t="n">
        <v>96</v>
      </c>
      <c r="C110" s="2" t="n">
        <v>91</v>
      </c>
      <c r="D110" s="1" t="s">
        <v>663</v>
      </c>
      <c r="E110" s="1" t="s">
        <v>664</v>
      </c>
      <c r="F110" s="1" t="s">
        <v>665</v>
      </c>
      <c r="H110" s="1" t="s">
        <v>666</v>
      </c>
      <c r="I110" s="4" t="str">
        <f aca="false">CONCATENATE("http://www.wikidata.org/entity/",H110)</f>
        <v>http://www.wikidata.org/entity/Q194383</v>
      </c>
      <c r="N110" s="1" t="s">
        <v>667</v>
      </c>
      <c r="O110" s="1" t="s">
        <v>668</v>
      </c>
      <c r="P110" s="1" t="s">
        <v>669</v>
      </c>
    </row>
    <row r="111" customFormat="false" ht="14.25" hidden="false" customHeight="false" outlineLevel="0" collapsed="false">
      <c r="A111" s="19" t="s">
        <v>670</v>
      </c>
      <c r="B111" s="2" t="n">
        <v>97</v>
      </c>
      <c r="C111" s="2" t="n">
        <v>91</v>
      </c>
      <c r="D111" s="1" t="s">
        <v>671</v>
      </c>
      <c r="F111" s="1" t="s">
        <v>672</v>
      </c>
      <c r="H111" s="1" t="s">
        <v>666</v>
      </c>
      <c r="I111" s="4" t="str">
        <f aca="false">CONCATENATE("http://www.wikidata.org/entity/",H111)</f>
        <v>http://www.wikidata.org/entity/Q194383</v>
      </c>
      <c r="N111" s="1" t="s">
        <v>667</v>
      </c>
      <c r="O111" s="1" t="s">
        <v>673</v>
      </c>
      <c r="P111" s="1" t="s">
        <v>674</v>
      </c>
    </row>
    <row r="112" customFormat="false" ht="14.25" hidden="false" customHeight="false" outlineLevel="0" collapsed="false">
      <c r="A112" s="19" t="s">
        <v>675</v>
      </c>
      <c r="B112" s="2" t="n">
        <v>98</v>
      </c>
      <c r="C112" s="2" t="n">
        <v>91</v>
      </c>
      <c r="D112" s="1" t="s">
        <v>676</v>
      </c>
      <c r="E112" s="1" t="s">
        <v>677</v>
      </c>
      <c r="F112" s="1" t="s">
        <v>678</v>
      </c>
      <c r="H112" s="1" t="s">
        <v>679</v>
      </c>
      <c r="I112" s="4" t="str">
        <f aca="false">CONCATENATE("http://www.wikidata.org/entity/",H112)</f>
        <v>http://www.wikidata.org/entity/Q2713357</v>
      </c>
      <c r="N112" s="1" t="s">
        <v>680</v>
      </c>
      <c r="O112" s="1" t="s">
        <v>681</v>
      </c>
      <c r="P112" s="1" t="s">
        <v>682</v>
      </c>
    </row>
    <row r="113" customFormat="false" ht="14.25" hidden="false" customHeight="false" outlineLevel="0" collapsed="false">
      <c r="A113" s="19" t="s">
        <v>683</v>
      </c>
      <c r="B113" s="2" t="n">
        <v>99</v>
      </c>
      <c r="C113" s="2" t="n">
        <v>91</v>
      </c>
      <c r="D113" s="1" t="s">
        <v>684</v>
      </c>
      <c r="F113" s="1" t="s">
        <v>685</v>
      </c>
      <c r="H113" s="1" t="s">
        <v>679</v>
      </c>
      <c r="I113" s="4" t="str">
        <f aca="false">CONCATENATE("http://www.wikidata.org/entity/",H113)</f>
        <v>http://www.wikidata.org/entity/Q2713357</v>
      </c>
      <c r="N113" s="1" t="s">
        <v>680</v>
      </c>
      <c r="O113" s="1" t="s">
        <v>686</v>
      </c>
      <c r="P113" s="1" t="s">
        <v>687</v>
      </c>
    </row>
    <row r="114" customFormat="false" ht="14.25" hidden="false" customHeight="false" outlineLevel="0" collapsed="false">
      <c r="A114" s="19" t="s">
        <v>688</v>
      </c>
      <c r="B114" s="2" t="n">
        <v>100</v>
      </c>
      <c r="C114" s="2" t="n">
        <v>91</v>
      </c>
      <c r="D114" s="1" t="s">
        <v>689</v>
      </c>
      <c r="E114" s="1" t="s">
        <v>690</v>
      </c>
      <c r="F114" s="1" t="s">
        <v>691</v>
      </c>
      <c r="H114" s="1" t="s">
        <v>692</v>
      </c>
      <c r="I114" s="4" t="str">
        <f aca="false">CONCATENATE("http://www.wikidata.org/entity/",H114)</f>
        <v>http://www.wikidata.org/entity/Q122811318</v>
      </c>
      <c r="N114" s="1" t="s">
        <v>693</v>
      </c>
      <c r="O114" s="1" t="s">
        <v>694</v>
      </c>
      <c r="P114" s="1" t="s">
        <v>695</v>
      </c>
    </row>
    <row r="115" customFormat="false" ht="14.25" hidden="false" customHeight="false" outlineLevel="0" collapsed="false">
      <c r="A115" s="19" t="s">
        <v>696</v>
      </c>
      <c r="B115" s="2" t="n">
        <v>101</v>
      </c>
      <c r="C115" s="2" t="n">
        <v>91</v>
      </c>
      <c r="D115" s="1" t="s">
        <v>697</v>
      </c>
      <c r="E115" s="1" t="s">
        <v>698</v>
      </c>
      <c r="F115" s="1" t="s">
        <v>699</v>
      </c>
      <c r="H115" s="1" t="s">
        <v>700</v>
      </c>
      <c r="I115" s="4" t="str">
        <f aca="false">CONCATENATE("http://www.wikidata.org/entity/",H115)</f>
        <v>http://www.wikidata.org/entity/Q122811337</v>
      </c>
      <c r="N115" s="1" t="s">
        <v>701</v>
      </c>
      <c r="O115" s="1" t="s">
        <v>702</v>
      </c>
      <c r="P115" s="1" t="s">
        <v>703</v>
      </c>
    </row>
    <row r="116" customFormat="false" ht="14.25" hidden="false" customHeight="false" outlineLevel="0" collapsed="false">
      <c r="A116" s="19" t="s">
        <v>704</v>
      </c>
      <c r="B116" s="2" t="n">
        <v>102</v>
      </c>
      <c r="C116" s="2" t="n">
        <v>91</v>
      </c>
      <c r="D116" s="1" t="s">
        <v>705</v>
      </c>
      <c r="E116" s="1" t="s">
        <v>706</v>
      </c>
      <c r="F116" s="1" t="s">
        <v>707</v>
      </c>
      <c r="H116" s="1" t="s">
        <v>708</v>
      </c>
      <c r="I116" s="4" t="str">
        <f aca="false">CONCATENATE("http://www.wikidata.org/entity/",H116)</f>
        <v>http://www.wikidata.org/entity/Q226528</v>
      </c>
      <c r="N116" s="1" t="s">
        <v>709</v>
      </c>
      <c r="O116" s="1" t="s">
        <v>710</v>
      </c>
      <c r="P116" s="1" t="s">
        <v>711</v>
      </c>
    </row>
    <row r="117" customFormat="false" ht="14.25" hidden="false" customHeight="false" outlineLevel="0" collapsed="false">
      <c r="A117" s="19" t="s">
        <v>712</v>
      </c>
      <c r="B117" s="2" t="n">
        <v>103</v>
      </c>
      <c r="C117" s="2" t="n">
        <v>91</v>
      </c>
      <c r="D117" s="1" t="s">
        <v>713</v>
      </c>
      <c r="F117" s="1" t="s">
        <v>714</v>
      </c>
      <c r="H117" s="1" t="s">
        <v>708</v>
      </c>
      <c r="I117" s="4" t="str">
        <f aca="false">CONCATENATE("http://www.wikidata.org/entity/",H117)</f>
        <v>http://www.wikidata.org/entity/Q226528</v>
      </c>
      <c r="N117" s="1" t="s">
        <v>709</v>
      </c>
      <c r="O117" s="1" t="s">
        <v>715</v>
      </c>
      <c r="P117" s="1" t="s">
        <v>716</v>
      </c>
    </row>
    <row r="118" customFormat="false" ht="14.25" hidden="false" customHeight="false" outlineLevel="0" collapsed="false">
      <c r="A118" s="19" t="s">
        <v>717</v>
      </c>
      <c r="B118" s="2" t="n">
        <v>104</v>
      </c>
      <c r="C118" s="2" t="n">
        <v>91</v>
      </c>
      <c r="D118" s="1" t="s">
        <v>718</v>
      </c>
      <c r="E118" s="1" t="s">
        <v>719</v>
      </c>
      <c r="F118" s="1" t="s">
        <v>720</v>
      </c>
      <c r="H118" s="1" t="s">
        <v>721</v>
      </c>
      <c r="I118" s="4" t="str">
        <f aca="false">CONCATENATE("http://www.wikidata.org/entity/",H118)</f>
        <v>http://www.wikidata.org/entity/Q261242</v>
      </c>
      <c r="N118" s="1" t="s">
        <v>722</v>
      </c>
      <c r="O118" s="1" t="s">
        <v>723</v>
      </c>
      <c r="P118" s="1" t="s">
        <v>724</v>
      </c>
    </row>
    <row r="119" customFormat="false" ht="14.25" hidden="false" customHeight="false" outlineLevel="0" collapsed="false">
      <c r="A119" s="19" t="s">
        <v>725</v>
      </c>
      <c r="B119" s="2" t="n">
        <v>105</v>
      </c>
      <c r="C119" s="2" t="n">
        <v>91</v>
      </c>
      <c r="D119" s="1" t="s">
        <v>726</v>
      </c>
      <c r="F119" s="1" t="s">
        <v>727</v>
      </c>
      <c r="H119" s="1" t="s">
        <v>721</v>
      </c>
      <c r="I119" s="4" t="str">
        <f aca="false">CONCATENATE("http://www.wikidata.org/entity/",H119)</f>
        <v>http://www.wikidata.org/entity/Q261242</v>
      </c>
      <c r="N119" s="1" t="s">
        <v>722</v>
      </c>
      <c r="O119" s="1" t="s">
        <v>728</v>
      </c>
      <c r="P119" s="1" t="s">
        <v>729</v>
      </c>
    </row>
    <row r="120" customFormat="false" ht="14.25" hidden="false" customHeight="false" outlineLevel="0" collapsed="false">
      <c r="A120" s="19" t="s">
        <v>730</v>
      </c>
      <c r="B120" s="2" t="n">
        <v>106</v>
      </c>
      <c r="D120" s="1" t="s">
        <v>731</v>
      </c>
      <c r="F120" s="1" t="s">
        <v>732</v>
      </c>
      <c r="H120" s="1" t="s">
        <v>733</v>
      </c>
      <c r="I120" s="4" t="str">
        <f aca="false">CONCATENATE("http://www.wikidata.org/entity/",H120)</f>
        <v>http://www.wikidata.org/entity/Q6293</v>
      </c>
      <c r="O120" s="1" t="s">
        <v>732</v>
      </c>
      <c r="P120" s="1" t="s">
        <v>731</v>
      </c>
    </row>
    <row r="121" customFormat="false" ht="14.25" hidden="false" customHeight="false" outlineLevel="0" collapsed="false">
      <c r="A121" s="19" t="s">
        <v>734</v>
      </c>
      <c r="B121" s="2" t="n">
        <v>107</v>
      </c>
      <c r="C121" s="2" t="n">
        <v>106</v>
      </c>
      <c r="D121" s="1" t="s">
        <v>735</v>
      </c>
      <c r="F121" s="1" t="s">
        <v>736</v>
      </c>
      <c r="H121" s="1" t="s">
        <v>737</v>
      </c>
      <c r="I121" s="4" t="str">
        <f aca="false">CONCATENATE("http://www.wikidata.org/entity/",H121)</f>
        <v>http://www.wikidata.org/entity/Q15781213</v>
      </c>
      <c r="O121" s="1" t="s">
        <v>738</v>
      </c>
      <c r="P121" s="1" t="s">
        <v>739</v>
      </c>
    </row>
    <row r="122" customFormat="false" ht="14.25" hidden="false" customHeight="false" outlineLevel="0" collapsed="false">
      <c r="A122" s="19" t="s">
        <v>740</v>
      </c>
      <c r="B122" s="2" t="n">
        <v>108</v>
      </c>
      <c r="C122" s="2" t="n">
        <v>106</v>
      </c>
      <c r="D122" s="1" t="s">
        <v>741</v>
      </c>
      <c r="E122" s="1" t="s">
        <v>742</v>
      </c>
      <c r="F122" s="1" t="s">
        <v>743</v>
      </c>
      <c r="H122" s="1" t="s">
        <v>744</v>
      </c>
      <c r="I122" s="4" t="str">
        <f aca="false">CONCATENATE("http://www.wikidata.org/entity/",H122)</f>
        <v>http://www.wikidata.org/entity/Q1051557</v>
      </c>
      <c r="L122" s="1" t="n">
        <v>300263816</v>
      </c>
      <c r="M122" s="4" t="str">
        <f aca="false">CONCATENATE("https://vocab.getty.edu/aat/",L122)</f>
        <v>https://vocab.getty.edu/aat/300263816</v>
      </c>
      <c r="O122" s="1" t="s">
        <v>745</v>
      </c>
      <c r="P122" s="1" t="s">
        <v>746</v>
      </c>
    </row>
    <row r="123" customFormat="false" ht="14.25" hidden="false" customHeight="false" outlineLevel="0" collapsed="false">
      <c r="A123" s="19" t="s">
        <v>747</v>
      </c>
      <c r="B123" s="2" t="n">
        <v>109</v>
      </c>
      <c r="C123" s="2" t="n">
        <v>108</v>
      </c>
      <c r="D123" s="1" t="s">
        <v>748</v>
      </c>
      <c r="E123" s="1" t="s">
        <v>749</v>
      </c>
      <c r="F123" s="1" t="s">
        <v>750</v>
      </c>
      <c r="G123" s="1" t="s">
        <v>751</v>
      </c>
      <c r="H123" s="1" t="s">
        <v>752</v>
      </c>
      <c r="I123" s="4" t="str">
        <f aca="false">CONCATENATE("http://www.wikidata.org/entity/",H123)</f>
        <v>http://www.wikidata.org/entity/Q166816</v>
      </c>
      <c r="O123" s="1" t="s">
        <v>753</v>
      </c>
      <c r="P123" s="1" t="s">
        <v>754</v>
      </c>
    </row>
    <row r="124" customFormat="false" ht="14.25" hidden="false" customHeight="false" outlineLevel="0" collapsed="false">
      <c r="A124" s="19" t="s">
        <v>755</v>
      </c>
      <c r="B124" s="2" t="n">
        <v>110</v>
      </c>
      <c r="C124" s="2" t="n">
        <v>108</v>
      </c>
      <c r="D124" s="1" t="s">
        <v>756</v>
      </c>
      <c r="F124" s="1" t="s">
        <v>757</v>
      </c>
      <c r="H124" s="1" t="s">
        <v>758</v>
      </c>
      <c r="I124" s="4" t="str">
        <f aca="false">CONCATENATE("http://www.wikidata.org/entity/",H124)</f>
        <v>http://www.wikidata.org/entity/Q595597</v>
      </c>
      <c r="O124" s="1" t="s">
        <v>759</v>
      </c>
      <c r="P124" s="1" t="s">
        <v>760</v>
      </c>
    </row>
    <row r="125" customFormat="false" ht="14.25" hidden="false" customHeight="false" outlineLevel="0" collapsed="false">
      <c r="A125" s="19" t="s">
        <v>761</v>
      </c>
      <c r="B125" s="2" t="n">
        <v>111</v>
      </c>
      <c r="C125" s="2" t="n">
        <v>108</v>
      </c>
      <c r="D125" s="1" t="s">
        <v>762</v>
      </c>
      <c r="F125" s="1" t="s">
        <v>763</v>
      </c>
      <c r="H125" s="1" t="s">
        <v>764</v>
      </c>
      <c r="I125" s="4" t="str">
        <f aca="false">CONCATENATE("http://www.wikidata.org/entity/",H125)</f>
        <v>http://www.wikidata.org/entity/Q2254548</v>
      </c>
      <c r="O125" s="1" t="s">
        <v>765</v>
      </c>
      <c r="P125" s="1" t="s">
        <v>766</v>
      </c>
    </row>
    <row r="126" customFormat="false" ht="14.25" hidden="false" customHeight="false" outlineLevel="0" collapsed="false">
      <c r="A126" s="19" t="s">
        <v>767</v>
      </c>
      <c r="B126" s="2" t="n">
        <v>112</v>
      </c>
      <c r="C126" s="2" t="n">
        <v>106</v>
      </c>
      <c r="D126" s="1" t="s">
        <v>768</v>
      </c>
      <c r="F126" s="1" t="s">
        <v>769</v>
      </c>
      <c r="H126" s="1" t="s">
        <v>770</v>
      </c>
      <c r="I126" s="4" t="str">
        <f aca="false">CONCATENATE("http://www.wikidata.org/entity/",H126)</f>
        <v>http://www.wikidata.org/entity/Q1146074</v>
      </c>
      <c r="O126" s="1" t="s">
        <v>771</v>
      </c>
      <c r="P126" s="1" t="s">
        <v>772</v>
      </c>
    </row>
    <row r="127" customFormat="false" ht="14.25" hidden="false" customHeight="false" outlineLevel="0" collapsed="false">
      <c r="A127" s="19" t="s">
        <v>773</v>
      </c>
      <c r="B127" s="2" t="n">
        <v>113</v>
      </c>
      <c r="C127" s="2" t="n">
        <v>112</v>
      </c>
      <c r="D127" s="1" t="s">
        <v>774</v>
      </c>
      <c r="F127" s="1" t="s">
        <v>775</v>
      </c>
      <c r="H127" s="1" t="s">
        <v>752</v>
      </c>
      <c r="I127" s="4" t="str">
        <f aca="false">CONCATENATE("http://www.wikidata.org/entity/",H127)</f>
        <v>http://www.wikidata.org/entity/Q166816</v>
      </c>
      <c r="O127" s="1" t="s">
        <v>776</v>
      </c>
      <c r="P127" s="1" t="s">
        <v>777</v>
      </c>
    </row>
    <row r="128" customFormat="false" ht="14.25" hidden="false" customHeight="false" outlineLevel="0" collapsed="false">
      <c r="A128" s="19" t="s">
        <v>778</v>
      </c>
      <c r="B128" s="2" t="n">
        <v>114</v>
      </c>
      <c r="C128" s="2" t="n">
        <v>112</v>
      </c>
      <c r="D128" s="1" t="s">
        <v>779</v>
      </c>
      <c r="F128" s="1" t="s">
        <v>780</v>
      </c>
      <c r="H128" s="1" t="s">
        <v>758</v>
      </c>
      <c r="I128" s="4" t="str">
        <f aca="false">CONCATENATE("http://www.wikidata.org/entity/",H128)</f>
        <v>http://www.wikidata.org/entity/Q595597</v>
      </c>
      <c r="O128" s="1" t="s">
        <v>781</v>
      </c>
      <c r="P128" s="1" t="s">
        <v>782</v>
      </c>
    </row>
    <row r="129" customFormat="false" ht="14.25" hidden="false" customHeight="false" outlineLevel="0" collapsed="false">
      <c r="A129" s="19" t="s">
        <v>783</v>
      </c>
      <c r="B129" s="2" t="n">
        <v>115</v>
      </c>
      <c r="C129" s="2" t="n">
        <v>112</v>
      </c>
      <c r="D129" s="1" t="s">
        <v>784</v>
      </c>
      <c r="F129" s="1" t="s">
        <v>785</v>
      </c>
      <c r="H129" s="1" t="s">
        <v>764</v>
      </c>
      <c r="I129" s="4" t="str">
        <f aca="false">CONCATENATE("http://www.wikidata.org/entity/",H129)</f>
        <v>http://www.wikidata.org/entity/Q2254548</v>
      </c>
      <c r="O129" s="1" t="s">
        <v>786</v>
      </c>
      <c r="P129" s="1" t="s">
        <v>787</v>
      </c>
    </row>
    <row r="130" customFormat="false" ht="14.25" hidden="false" customHeight="false" outlineLevel="0" collapsed="false">
      <c r="A130" s="19" t="s">
        <v>788</v>
      </c>
      <c r="B130" s="2" t="n">
        <v>116</v>
      </c>
      <c r="C130" s="2" t="n">
        <v>106</v>
      </c>
      <c r="D130" s="1" t="s">
        <v>789</v>
      </c>
      <c r="E130" s="1" t="s">
        <v>790</v>
      </c>
      <c r="F130" s="1" t="s">
        <v>791</v>
      </c>
      <c r="H130" s="1" t="s">
        <v>792</v>
      </c>
      <c r="I130" s="4" t="str">
        <f aca="false">CONCATENATE("http://www.wikidata.org/entity/",H130)</f>
        <v>http://www.wikidata.org/entity/Q1189460</v>
      </c>
      <c r="O130" s="1" t="s">
        <v>793</v>
      </c>
      <c r="P130" s="1" t="s">
        <v>794</v>
      </c>
    </row>
    <row r="131" customFormat="false" ht="14.25" hidden="false" customHeight="false" outlineLevel="0" collapsed="false">
      <c r="A131" s="19" t="s">
        <v>795</v>
      </c>
      <c r="B131" s="2" t="n">
        <v>117</v>
      </c>
      <c r="D131" s="1" t="s">
        <v>796</v>
      </c>
      <c r="F131" s="1" t="s">
        <v>797</v>
      </c>
      <c r="H131" s="1" t="s">
        <v>798</v>
      </c>
      <c r="I131" s="4" t="str">
        <f aca="false">CONCATENATE("http://www.wikidata.org/entity/",H131)</f>
        <v>http://www.wikidata.org/entity/Q830450</v>
      </c>
      <c r="O131" s="1" t="s">
        <v>797</v>
      </c>
      <c r="P131" s="1" t="s">
        <v>796</v>
      </c>
    </row>
    <row r="132" customFormat="false" ht="14.25" hidden="false" customHeight="false" outlineLevel="0" collapsed="false">
      <c r="A132" s="19" t="s">
        <v>799</v>
      </c>
      <c r="B132" s="2" t="n">
        <v>118</v>
      </c>
      <c r="C132" s="2" t="n">
        <v>117</v>
      </c>
      <c r="D132" s="1" t="s">
        <v>800</v>
      </c>
      <c r="F132" s="1" t="s">
        <v>801</v>
      </c>
      <c r="G132" s="1" t="s">
        <v>800</v>
      </c>
      <c r="H132" s="1" t="s">
        <v>802</v>
      </c>
      <c r="I132" s="4" t="str">
        <f aca="false">CONCATENATE("http://www.wikidata.org/entity/",H132)</f>
        <v>http://www.wikidata.org/entity/Q2368076</v>
      </c>
      <c r="O132" s="1" t="s">
        <v>803</v>
      </c>
      <c r="P132" s="1" t="s">
        <v>804</v>
      </c>
    </row>
    <row r="133" customFormat="false" ht="14.25" hidden="false" customHeight="false" outlineLevel="0" collapsed="false">
      <c r="A133" s="19" t="s">
        <v>805</v>
      </c>
      <c r="B133" s="2" t="n">
        <v>119</v>
      </c>
      <c r="C133" s="2" t="n">
        <v>117</v>
      </c>
      <c r="D133" s="1" t="s">
        <v>806</v>
      </c>
      <c r="F133" s="1" t="s">
        <v>807</v>
      </c>
      <c r="H133" s="1" t="s">
        <v>808</v>
      </c>
      <c r="I133" s="4" t="str">
        <f aca="false">CONCATENATE("http://www.wikidata.org/entity/",H133)</f>
        <v>http://www.wikidata.org/entity/Q12498524</v>
      </c>
      <c r="O133" s="1" t="s">
        <v>809</v>
      </c>
      <c r="P133" s="1" t="s">
        <v>810</v>
      </c>
    </row>
    <row r="134" customFormat="false" ht="14.25" hidden="false" customHeight="false" outlineLevel="0" collapsed="false">
      <c r="A134" s="19" t="s">
        <v>811</v>
      </c>
      <c r="B134" s="2" t="n">
        <v>120</v>
      </c>
      <c r="C134" s="2" t="n">
        <v>120</v>
      </c>
      <c r="D134" s="1" t="s">
        <v>812</v>
      </c>
      <c r="F134" s="1" t="s">
        <v>813</v>
      </c>
      <c r="H134" s="1" t="s">
        <v>814</v>
      </c>
      <c r="I134" s="4" t="str">
        <f aca="false">CONCATENATE("http://www.wikidata.org/entity/",H134)</f>
        <v>http://www.wikidata.org/entity/Q2248059</v>
      </c>
      <c r="O134" s="1" t="s">
        <v>813</v>
      </c>
      <c r="P134" s="1" t="s">
        <v>812</v>
      </c>
    </row>
    <row r="135" customFormat="false" ht="14.25" hidden="false" customHeight="false" outlineLevel="0" collapsed="false">
      <c r="A135" s="19" t="s">
        <v>815</v>
      </c>
      <c r="B135" s="2" t="n">
        <v>121</v>
      </c>
      <c r="C135" s="2" t="n">
        <v>120</v>
      </c>
      <c r="D135" s="1" t="s">
        <v>816</v>
      </c>
      <c r="E135" s="1" t="s">
        <v>817</v>
      </c>
      <c r="F135" s="1" t="s">
        <v>818</v>
      </c>
      <c r="H135" s="1" t="s">
        <v>298</v>
      </c>
      <c r="I135" s="4" t="str">
        <f aca="false">CONCATENATE("http://www.wikidata.org/entity/",H135)</f>
        <v>http://www.wikidata.org/entity/Q5294</v>
      </c>
      <c r="O135" s="1" t="s">
        <v>819</v>
      </c>
      <c r="P135" s="1" t="s">
        <v>820</v>
      </c>
    </row>
    <row r="136" customFormat="false" ht="14.25" hidden="false" customHeight="false" outlineLevel="0" collapsed="false">
      <c r="A136" s="19" t="s">
        <v>821</v>
      </c>
      <c r="B136" s="2" t="n">
        <v>122</v>
      </c>
      <c r="C136" s="2" t="n">
        <v>120</v>
      </c>
      <c r="D136" s="1" t="s">
        <v>822</v>
      </c>
      <c r="E136" s="1" t="s">
        <v>823</v>
      </c>
      <c r="F136" s="1" t="s">
        <v>824</v>
      </c>
      <c r="G136" s="1" t="s">
        <v>825</v>
      </c>
      <c r="H136" s="1" t="s">
        <v>290</v>
      </c>
      <c r="I136" s="4" t="str">
        <f aca="false">CONCATENATE("http://www.wikidata.org/entity/",H136)</f>
        <v>http://www.wikidata.org/entity/Q47770</v>
      </c>
      <c r="O136" s="1" t="s">
        <v>826</v>
      </c>
      <c r="P136" s="1" t="s">
        <v>827</v>
      </c>
    </row>
    <row r="137" customFormat="false" ht="14.25" hidden="false" customHeight="false" outlineLevel="0" collapsed="false">
      <c r="A137" s="19" t="s">
        <v>828</v>
      </c>
      <c r="B137" s="2" t="n">
        <v>123</v>
      </c>
      <c r="C137" s="2" t="n">
        <v>120</v>
      </c>
      <c r="D137" s="1" t="s">
        <v>829</v>
      </c>
      <c r="F137" s="1" t="s">
        <v>829</v>
      </c>
      <c r="H137" s="1" t="s">
        <v>830</v>
      </c>
      <c r="I137" s="4" t="str">
        <f aca="false">CONCATENATE("http://www.wikidata.org/entity/",H137)</f>
        <v>http://www.wikidata.org/entity/Q15727650</v>
      </c>
      <c r="O137" s="1" t="s">
        <v>831</v>
      </c>
      <c r="P137" s="1" t="s">
        <v>832</v>
      </c>
    </row>
    <row r="138" customFormat="false" ht="14.25" hidden="false" customHeight="false" outlineLevel="0" collapsed="false">
      <c r="A138" s="19" t="s">
        <v>833</v>
      </c>
      <c r="B138" s="2" t="n">
        <v>124</v>
      </c>
      <c r="C138" s="2" t="n">
        <v>120</v>
      </c>
      <c r="D138" s="1" t="s">
        <v>834</v>
      </c>
      <c r="E138" s="1" t="s">
        <v>835</v>
      </c>
      <c r="F138" s="1" t="s">
        <v>836</v>
      </c>
      <c r="H138" s="1" t="s">
        <v>837</v>
      </c>
      <c r="I138" s="4" t="str">
        <f aca="false">CONCATENATE("http://www.wikidata.org/entity/",H138)</f>
        <v>http://www.wikidata.org/entity/Q7982</v>
      </c>
      <c r="O138" s="1" t="s">
        <v>838</v>
      </c>
      <c r="P138" s="1" t="s">
        <v>839</v>
      </c>
    </row>
    <row r="139" customFormat="false" ht="14.25" hidden="false" customHeight="false" outlineLevel="0" collapsed="false">
      <c r="A139" s="19" t="s">
        <v>840</v>
      </c>
      <c r="B139" s="2" t="n">
        <v>125</v>
      </c>
      <c r="D139" s="1" t="s">
        <v>841</v>
      </c>
      <c r="F139" s="1" t="s">
        <v>842</v>
      </c>
      <c r="H139" s="1" t="s">
        <v>843</v>
      </c>
      <c r="I139" s="4" t="str">
        <f aca="false">CONCATENATE("http://www.wikidata.org/entity/",H139)</f>
        <v>http://www.wikidata.org/entity/Q1364527</v>
      </c>
      <c r="O139" s="1" t="s">
        <v>842</v>
      </c>
      <c r="P139" s="1" t="s">
        <v>841</v>
      </c>
    </row>
    <row r="140" customFormat="false" ht="14.25" hidden="false" customHeight="false" outlineLevel="0" collapsed="false">
      <c r="A140" s="19" t="s">
        <v>844</v>
      </c>
      <c r="B140" s="2" t="n">
        <v>126</v>
      </c>
      <c r="C140" s="2" t="n">
        <v>125</v>
      </c>
      <c r="D140" s="1" t="s">
        <v>845</v>
      </c>
      <c r="E140" s="1" t="s">
        <v>846</v>
      </c>
      <c r="F140" s="1" t="s">
        <v>847</v>
      </c>
      <c r="G140" s="1" t="s">
        <v>848</v>
      </c>
      <c r="H140" s="1" t="s">
        <v>849</v>
      </c>
      <c r="I140" s="4" t="str">
        <f aca="false">CONCATENATE("http://www.wikidata.org/entity/",H140)</f>
        <v>http://www.wikidata.org/entity/Q37753524</v>
      </c>
      <c r="O140" s="1" t="s">
        <v>850</v>
      </c>
      <c r="P140" s="1" t="s">
        <v>851</v>
      </c>
    </row>
    <row r="141" customFormat="false" ht="14.25" hidden="false" customHeight="false" outlineLevel="0" collapsed="false">
      <c r="A141" s="19" t="s">
        <v>852</v>
      </c>
      <c r="B141" s="2" t="n">
        <v>127</v>
      </c>
      <c r="C141" s="2" t="n">
        <v>125</v>
      </c>
      <c r="D141" s="1" t="s">
        <v>853</v>
      </c>
      <c r="E141" s="1" t="s">
        <v>854</v>
      </c>
      <c r="F141" s="1" t="s">
        <v>855</v>
      </c>
      <c r="G141" s="1" t="s">
        <v>856</v>
      </c>
      <c r="H141" s="1" t="s">
        <v>857</v>
      </c>
      <c r="I141" s="4" t="str">
        <f aca="false">CONCATENATE("http://www.wikidata.org/entity/",H141)</f>
        <v>http://www.wikidata.org/entity/Q55194959</v>
      </c>
      <c r="O141" s="1" t="s">
        <v>858</v>
      </c>
      <c r="P141" s="1" t="s">
        <v>859</v>
      </c>
    </row>
    <row r="142" customFormat="false" ht="14.25" hidden="false" customHeight="false" outlineLevel="0" collapsed="false">
      <c r="A142" s="19" t="s">
        <v>860</v>
      </c>
      <c r="B142" s="2" t="n">
        <v>128</v>
      </c>
      <c r="C142" s="2" t="n">
        <v>125</v>
      </c>
      <c r="D142" s="1" t="s">
        <v>861</v>
      </c>
      <c r="E142" s="1" t="s">
        <v>862</v>
      </c>
      <c r="F142" s="1" t="s">
        <v>861</v>
      </c>
      <c r="G142" s="1" t="s">
        <v>863</v>
      </c>
      <c r="H142" s="1" t="s">
        <v>864</v>
      </c>
      <c r="I142" s="4" t="str">
        <f aca="false">CONCATENATE("http://www.wikidata.org/entity/",H142)</f>
        <v>http://www.wikidata.org/entity/Q4439</v>
      </c>
      <c r="J142" s="1" t="s">
        <v>865</v>
      </c>
      <c r="K142" s="4" t="str">
        <f aca="false">CONCATENATE("https://d-nb.info/gnd/",J142)</f>
        <v>https://d-nb.info/gnd/4192018-1</v>
      </c>
      <c r="L142" s="1" t="n">
        <v>300266294</v>
      </c>
      <c r="M142" s="4" t="str">
        <f aca="false">CONCATENATE("https://vocab.getty.edu/aat/",L142)</f>
        <v>https://vocab.getty.edu/aat/300266294</v>
      </c>
      <c r="O142" s="1" t="s">
        <v>866</v>
      </c>
      <c r="P142" s="1" t="s">
        <v>867</v>
      </c>
    </row>
    <row r="143" customFormat="false" ht="14.25" hidden="false" customHeight="false" outlineLevel="0" collapsed="false">
      <c r="A143" s="19" t="s">
        <v>868</v>
      </c>
      <c r="B143" s="2" t="n">
        <v>129</v>
      </c>
      <c r="D143" s="1" t="s">
        <v>869</v>
      </c>
      <c r="F143" s="1" t="s">
        <v>870</v>
      </c>
      <c r="H143" s="1" t="s">
        <v>871</v>
      </c>
      <c r="I143" s="4" t="str">
        <f aca="false">CONCATENATE("http://www.wikidata.org/entity/",H143)</f>
        <v>http://www.wikidata.org/entity/Q19280237</v>
      </c>
      <c r="O143" s="1" t="s">
        <v>870</v>
      </c>
      <c r="P143" s="1" t="s">
        <v>869</v>
      </c>
    </row>
    <row r="144" customFormat="false" ht="14.25" hidden="false" customHeight="false" outlineLevel="0" collapsed="false">
      <c r="A144" s="19" t="s">
        <v>872</v>
      </c>
      <c r="B144" s="2" t="n">
        <v>130</v>
      </c>
      <c r="C144" s="2" t="n">
        <v>129</v>
      </c>
      <c r="D144" s="1" t="s">
        <v>873</v>
      </c>
      <c r="E144" s="1" t="s">
        <v>874</v>
      </c>
      <c r="F144" s="1" t="s">
        <v>873</v>
      </c>
      <c r="G144" s="1" t="s">
        <v>875</v>
      </c>
      <c r="H144" s="1" t="s">
        <v>876</v>
      </c>
      <c r="I144" s="4" t="str">
        <f aca="false">CONCATENATE("http://www.wikidata.org/entity/",H144)</f>
        <v>http://www.wikidata.org/entity/Q487343</v>
      </c>
      <c r="O144" s="1" t="s">
        <v>877</v>
      </c>
      <c r="P144" s="1" t="s">
        <v>878</v>
      </c>
    </row>
    <row r="145" customFormat="false" ht="14.25" hidden="false" customHeight="false" outlineLevel="0" collapsed="false">
      <c r="A145" s="19" t="s">
        <v>879</v>
      </c>
      <c r="B145" s="2" t="n">
        <v>131</v>
      </c>
      <c r="C145" s="2" t="n">
        <v>129</v>
      </c>
      <c r="D145" s="1" t="s">
        <v>880</v>
      </c>
      <c r="E145" s="1" t="s">
        <v>881</v>
      </c>
      <c r="F145" s="1" t="s">
        <v>882</v>
      </c>
      <c r="H145" s="1" t="s">
        <v>883</v>
      </c>
      <c r="I145" s="4" t="str">
        <f aca="false">CONCATENATE("http://www.wikidata.org/entity/",H145)</f>
        <v>http://www.wikidata.org/entity/Q1647694</v>
      </c>
      <c r="J145" s="1" t="s">
        <v>884</v>
      </c>
      <c r="K145" s="4" t="str">
        <f aca="false">CONCATENATE("https://d-nb.info/gnd/",J145)</f>
        <v>https://d-nb.info/gnd/4770596-6</v>
      </c>
      <c r="L145" s="1" t="n">
        <v>300404359</v>
      </c>
      <c r="M145" s="4" t="str">
        <f aca="false">CONCATENATE("https://vocab.getty.edu/aat/",L145)</f>
        <v>https://vocab.getty.edu/aat/300404359</v>
      </c>
      <c r="O145" s="1" t="s">
        <v>885</v>
      </c>
      <c r="P145" s="1" t="s">
        <v>886</v>
      </c>
    </row>
    <row r="146" customFormat="false" ht="14.25" hidden="false" customHeight="false" outlineLevel="0" collapsed="false">
      <c r="A146" s="19" t="s">
        <v>887</v>
      </c>
      <c r="B146" s="2" t="n">
        <v>132</v>
      </c>
      <c r="D146" s="1" t="s">
        <v>888</v>
      </c>
      <c r="E146" s="1" t="s">
        <v>889</v>
      </c>
      <c r="F146" s="1" t="s">
        <v>890</v>
      </c>
      <c r="G146" s="1" t="s">
        <v>891</v>
      </c>
      <c r="H146" s="1" t="s">
        <v>892</v>
      </c>
      <c r="I146" s="4" t="str">
        <f aca="false">CONCATENATE("http://www.wikidata.org/entity/",H146)</f>
        <v>http://www.wikidata.org/entity/Q49848</v>
      </c>
      <c r="J146" s="1" t="s">
        <v>893</v>
      </c>
      <c r="K146" s="4" t="str">
        <f aca="false">CONCATENATE("https://d-nb.info/gnd/",J146)</f>
        <v>https://d-nb.info/gnd/4180009-6</v>
      </c>
      <c r="O146" s="1" t="s">
        <v>890</v>
      </c>
      <c r="P146" s="1" t="s">
        <v>888</v>
      </c>
    </row>
    <row r="147" customFormat="false" ht="14.25" hidden="false" customHeight="false" outlineLevel="0" collapsed="false">
      <c r="A147" s="19" t="s">
        <v>894</v>
      </c>
      <c r="B147" s="2" t="n">
        <v>133</v>
      </c>
      <c r="C147" s="2" t="n">
        <v>132</v>
      </c>
      <c r="D147" s="1" t="s">
        <v>895</v>
      </c>
      <c r="F147" s="1" t="s">
        <v>896</v>
      </c>
      <c r="H147" s="1" t="s">
        <v>897</v>
      </c>
      <c r="I147" s="4" t="str">
        <f aca="false">CONCATENATE("http://www.wikidata.org/entity/",H147)</f>
        <v>http://www.wikidata.org/entity/Q1002697</v>
      </c>
      <c r="L147" s="1" t="n">
        <v>300026657</v>
      </c>
      <c r="M147" s="4" t="str">
        <f aca="false">CONCATENATE("https://vocab.getty.edu/aat/",L147)</f>
        <v>https://vocab.getty.edu/aat/300026657</v>
      </c>
      <c r="O147" s="1" t="s">
        <v>898</v>
      </c>
      <c r="P147" s="1" t="s">
        <v>899</v>
      </c>
    </row>
    <row r="148" customFormat="false" ht="14.25" hidden="false" customHeight="false" outlineLevel="0" collapsed="false">
      <c r="A148" s="19" t="s">
        <v>900</v>
      </c>
      <c r="B148" s="2" t="n">
        <v>134</v>
      </c>
      <c r="C148" s="2" t="n">
        <v>132</v>
      </c>
      <c r="D148" s="1" t="s">
        <v>901</v>
      </c>
      <c r="F148" s="1" t="s">
        <v>902</v>
      </c>
      <c r="H148" s="1" t="s">
        <v>903</v>
      </c>
      <c r="I148" s="4" t="str">
        <f aca="false">CONCATENATE("http://www.wikidata.org/entity/",H148)</f>
        <v>http://www.wikidata.org/entity/Q193495</v>
      </c>
      <c r="J148" s="1" t="s">
        <v>904</v>
      </c>
      <c r="K148" s="4" t="str">
        <f aca="false">CONCATENATE("https://d-nb.info/gnd/",J148)</f>
        <v>https://d-nb.info/gnd/4454906-4</v>
      </c>
      <c r="L148" s="1" t="n">
        <v>300060417</v>
      </c>
      <c r="M148" s="4" t="str">
        <f aca="false">CONCATENATE("https://vocab.getty.edu/aat/",L148)</f>
        <v>https://vocab.getty.edu/aat/300060417</v>
      </c>
      <c r="O148" s="1" t="s">
        <v>905</v>
      </c>
      <c r="P148" s="1" t="s">
        <v>906</v>
      </c>
    </row>
    <row r="149" customFormat="false" ht="14.25" hidden="false" customHeight="false" outlineLevel="0" collapsed="false">
      <c r="A149" s="19" t="s">
        <v>907</v>
      </c>
      <c r="B149" s="2" t="n">
        <v>135</v>
      </c>
      <c r="C149" s="2" t="n">
        <v>132</v>
      </c>
      <c r="D149" s="1" t="s">
        <v>908</v>
      </c>
      <c r="F149" s="1" t="s">
        <v>909</v>
      </c>
      <c r="H149" s="1" t="s">
        <v>910</v>
      </c>
      <c r="I149" s="4" t="str">
        <f aca="false">CONCATENATE("http://www.wikidata.org/entity/",H149)</f>
        <v>http://www.wikidata.org/entity/Q233861</v>
      </c>
      <c r="L149" s="1" t="n">
        <v>300417622</v>
      </c>
      <c r="M149" s="4" t="str">
        <f aca="false">CONCATENATE("https://vocab.getty.edu/aat/",L149)</f>
        <v>https://vocab.getty.edu/aat/300417622</v>
      </c>
      <c r="O149" s="1" t="s">
        <v>911</v>
      </c>
      <c r="P149" s="1" t="s">
        <v>912</v>
      </c>
    </row>
  </sheetData>
  <autoFilter ref="A12:P149"/>
  <printOptions headings="false" gridLines="false" gridLinesSet="true" horizontalCentered="false" verticalCentered="false"/>
  <pageMargins left="0.7" right="0.7" top="0.75" bottom="0.75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D694C1BF2A4A814DB8A490B7D9892513" ma:contentTypeVersion="18" ma:contentTypeDescription="Ein neues Dokument erstellen." ma:contentTypeScope="" ma:versionID="8e09f2a0d5e36f5676d6c0da5987fc63">
  <xsd:schema xmlns:xsd="http://www.w3.org/2001/XMLSchema" xmlns:xs="http://www.w3.org/2001/XMLSchema" xmlns:p="http://schemas.microsoft.com/office/2006/metadata/properties" xmlns:ns2="b2e623f0-21f2-45ff-90ce-bb6dbd5e9db3" xmlns:ns3="861a327e-8e6f-451e-a173-6d5787f5002e" targetNamespace="http://schemas.microsoft.com/office/2006/metadata/properties" ma:root="true" ma:fieldsID="108f228fa3fbc931eb29a90f232260a0" ns2:_="" ns3:_="">
    <xsd:import namespace="b2e623f0-21f2-45ff-90ce-bb6dbd5e9db3"/>
    <xsd:import namespace="861a327e-8e6f-451e-a173-6d5787f5002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Software_x002d_Beschreibung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  <xsd:element ref="ns2:Notiz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e623f0-21f2-45ff-90ce-bb6dbd5e9db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Bildmarkierungen" ma:readOnly="false" ma:fieldId="{5cf76f15-5ced-4ddc-b409-7134ff3c332f}" ma:taxonomyMulti="true" ma:sspId="be223791-0823-4b99-b179-597c1470b40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hidden="true" ma:internalName="MediaServiceOCR" ma:readOnly="true">
      <xsd:simpleType>
        <xsd:restriction base="dms:Note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Software_x002d_Beschreibung" ma:index="19" nillable="true" ma:displayName="Software-Beschreibung" ma:description="Beschreibung der verlinkten Software" ma:format="Dropdown" ma:hidden="true" ma:internalName="Software_x002d_Beschreibung" ma:readOnly="false">
      <xsd:simpleType>
        <xsd:restriction base="dms:Note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Notiz" ma:index="24" nillable="true" ma:displayName="Notiz" ma:description="Beschreibung des Datei-Inhalts" ma:format="Dropdown" ma:internalName="Notiz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61a327e-8e6f-451e-a173-6d5787f5002e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a91aa8d4-ff4b-4d15-90df-6c5b974c01a8}" ma:internalName="TaxCatchAll" ma:readOnly="false" ma:showField="CatchAllData" ma:web="861a327e-8e6f-451e-a173-6d5787f5002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7" nillable="true" ma:displayName="Freigegeben für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Freigegeben für - Details" ma:hidden="true" ma:internalName="SharedWithDetail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Inhaltstyp"/>
        <xsd:element ref="dc:title" minOccurs="0" maxOccurs="1" ma:index="1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2e623f0-21f2-45ff-90ce-bb6dbd5e9db3">
      <Terms xmlns="http://schemas.microsoft.com/office/infopath/2007/PartnerControls"/>
    </lcf76f155ced4ddcb4097134ff3c332f>
    <TaxCatchAll xmlns="861a327e-8e6f-451e-a173-6d5787f5002e" xsi:nil="true"/>
    <Notiz xmlns="b2e623f0-21f2-45ff-90ce-bb6dbd5e9db3" xsi:nil="true"/>
    <Software_x002d_Beschreibung xmlns="b2e623f0-21f2-45ff-90ce-bb6dbd5e9db3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916B1E4-5D13-474D-B90B-3AD34D85C916}"/>
</file>

<file path=customXml/itemProps2.xml><?xml version="1.0" encoding="utf-8"?>
<ds:datastoreItem xmlns:ds="http://schemas.openxmlformats.org/officeDocument/2006/customXml" ds:itemID="{095BD3F6-EBAE-4CBB-96D5-9BA70ECF9BBD}"/>
</file>

<file path=customXml/itemProps3.xml><?xml version="1.0" encoding="utf-8"?>
<ds:datastoreItem xmlns:ds="http://schemas.openxmlformats.org/officeDocument/2006/customXml" ds:itemID="{43DD2277-790D-4B35-BEED-B39F8ADD3DF6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35</TotalTime>
  <Application>LibreOffice/25.8.7.3$Linux_X86_64 LibreOffice_project/580$Build-3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2025-10-23T07:23:38Z</dcterms:created>
  <dc:creator/>
  <dc:description/>
  <dc:language>en-GB</dc:language>
  <cp:lastModifiedBy/>
  <dcterms:modified xsi:type="dcterms:W3CDTF">2026-06-12T16:05:23Z</dcterms:modified>
  <cp:revision>16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0x010100D694C1BF2A4A814DB8A490B7D9892513</vt:lpwstr>
  </property>
  <property fmtid="{D5CDD505-2E9C-101B-9397-08002B2CF9AE}" pid="3" name="MediaServiceImageTags">
    <vt:lpwstr/>
  </property>
</Properties>
</file>