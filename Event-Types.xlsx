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definedNames>
    <definedName function="false" hidden="true" localSheetId="0" name="_xlnm._FilterDatabase" vbProcedure="false">Tabelle1!$A$12:$N$77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<sst xmlns="http://schemas.openxmlformats.org/spreadsheetml/2006/main" count="443" uniqueCount="423">
  <si>
    <t xml:space="preserve">ConceptScheme URI</t>
  </si>
  <si>
    <t xml:space="preserve">http://w3id.org/arkumu/event-types</t>
  </si>
  <si>
    <r>
      <rPr>
        <sz val="10"/>
        <rFont val="Ubuntu Sans"/>
        <family val="2"/>
      </rPr>
      <t xml:space="preserve">grüner Hintergrund: lässt sich </t>
    </r>
    <r>
      <rPr>
        <sz val="10"/>
        <color rgb="FF000000"/>
        <rFont val="Ubuntu Sans"/>
        <family val="2"/>
      </rPr>
      <t xml:space="preserve"> mit https://xls2rdf.sparna.fr/web/convert </t>
    </r>
    <r>
      <rPr>
        <sz val="10"/>
        <rFont val="Ubuntu Sans"/>
        <family val="2"/>
      </rPr>
      <t xml:space="preserve">nach rdf/skos konvertieren</t>
    </r>
  </si>
  <si>
    <t xml:space="preserve">dct:title@en</t>
  </si>
  <si>
    <t xml:space="preserve">Event Types</t>
  </si>
  <si>
    <t xml:space="preserve">grau: wird nicht mit in SKOS konvertiert</t>
  </si>
  <si>
    <t xml:space="preserve">dct:title@de</t>
  </si>
  <si>
    <t xml:space="preserve">Ereignistypen</t>
  </si>
  <si>
    <t xml:space="preserve">rot: noch zu klären</t>
  </si>
  <si>
    <t xml:space="preserve">PREFIX</t>
  </si>
  <si>
    <t xml:space="preserve">event-type</t>
  </si>
  <si>
    <t xml:space="preserve">BASE</t>
  </si>
  <si>
    <t xml:space="preserve">dct:description@de</t>
  </si>
  <si>
    <t xml:space="preserve">Ereignistypen werden verwendet, um Ereignisse zu kategorisieren.</t>
  </si>
  <si>
    <t xml:space="preserve">dct:description@en</t>
  </si>
  <si>
    <t xml:space="preserve">Event Types are used to categorise Events</t>
  </si>
  <si>
    <t xml:space="preserve">dct:created^^xsd:date </t>
  </si>
  <si>
    <t xml:space="preserve">skos:editorialNote@de</t>
  </si>
  <si>
    <t xml:space="preserve">URI noch abschließend zu klären</t>
  </si>
  <si>
    <t xml:space="preserve"> dct:license</t>
  </si>
  <si>
    <t xml:space="preserve">https://creativecommons.org/publicdomain/zero/1.0/</t>
  </si>
  <si>
    <t xml:space="preserve">URI</t>
  </si>
  <si>
    <t xml:space="preserve">ID</t>
  </si>
  <si>
    <t xml:space="preserve">English Name</t>
  </si>
  <si>
    <t xml:space="preserve">English Synonyms</t>
  </si>
  <si>
    <t xml:space="preserve">German Name</t>
  </si>
  <si>
    <t xml:space="preserve">German Synonyms</t>
  </si>
  <si>
    <t xml:space="preserve">Wikidata ID</t>
  </si>
  <si>
    <t xml:space="preserve">Wikidata URI</t>
  </si>
  <si>
    <t xml:space="preserve">GND ID</t>
  </si>
  <si>
    <r>
      <rPr>
        <b val="true"/>
        <sz val="14"/>
        <rFont val="Arial"/>
        <family val="2"/>
      </rPr>
      <t xml:space="preserve">GND</t>
    </r>
    <r>
      <rPr>
        <b val="true"/>
        <sz val="14"/>
        <rFont val="Calibri"/>
        <family val="2"/>
      </rPr>
      <t xml:space="preserve"> URI</t>
    </r>
  </si>
  <si>
    <t xml:space="preserve">AAT ID</t>
  </si>
  <si>
    <t xml:space="preserve">AAT URI</t>
  </si>
  <si>
    <t xml:space="preserve">LIDO Terminology ID</t>
  </si>
  <si>
    <t xml:space="preserve">LIDO URI</t>
  </si>
  <si>
    <t xml:space="preserve">skos:notation</t>
  </si>
  <si>
    <t xml:space="preserve">skos:prefLabel@en</t>
  </si>
  <si>
    <t xml:space="preserve">skos:altLabel@en(separator=",")</t>
  </si>
  <si>
    <t xml:space="preserve">skos:prefLabel@de</t>
  </si>
  <si>
    <t xml:space="preserve">skos:altLabel@de(separator=",")</t>
  </si>
  <si>
    <t xml:space="preserve">-</t>
  </si>
  <si>
    <t xml:space="preserve">skos:exactMatch</t>
  </si>
  <si>
    <t xml:space="preserve">http://w3id.org/arkumu/event-types/event-type-1</t>
  </si>
  <si>
    <t xml:space="preserve">Purchase</t>
  </si>
  <si>
    <t xml:space="preserve">Ankauf</t>
  </si>
  <si>
    <t xml:space="preserve">Erwerb</t>
  </si>
  <si>
    <t xml:space="preserve">Q1369832</t>
  </si>
  <si>
    <t xml:space="preserve">4128692-3</t>
  </si>
  <si>
    <t xml:space="preserve">http://w3id.org/arkumu/event-types/event-type-2</t>
  </si>
  <si>
    <t xml:space="preserve">Inaugural Lecture</t>
  </si>
  <si>
    <t xml:space="preserve">Antrittsvorlesung</t>
  </si>
  <si>
    <t xml:space="preserve">Q609261</t>
  </si>
  <si>
    <t xml:space="preserve">4426602-9</t>
  </si>
  <si>
    <t xml:space="preserve">http://w3id.org/arkumu/event-types/event-type-3</t>
  </si>
  <si>
    <t xml:space="preserve">Arrangement</t>
  </si>
  <si>
    <t xml:space="preserve">Musical Arrangement</t>
  </si>
  <si>
    <t xml:space="preserve">Q379755</t>
  </si>
  <si>
    <t xml:space="preserve">4285138-5</t>
  </si>
  <si>
    <t xml:space="preserve">http://w3id.org/arkumu/event-types/event-type-4</t>
  </si>
  <si>
    <t xml:space="preserve">Performance (Performing Arts)</t>
  </si>
  <si>
    <t xml:space="preserve">Aufführung (Darstellende Künste)</t>
  </si>
  <si>
    <t xml:space="preserve">Q35140</t>
  </si>
  <si>
    <t xml:space="preserve">4143388-9</t>
  </si>
  <si>
    <t xml:space="preserve">lido00030</t>
  </si>
  <si>
    <t xml:space="preserve">http://w3id.org/arkumu/event-types/event-type-5</t>
  </si>
  <si>
    <t xml:space="preserve">Musical Performance</t>
  </si>
  <si>
    <t xml:space="preserve">Aufführung (Musik)</t>
  </si>
  <si>
    <t xml:space="preserve">Musikaufführung</t>
  </si>
  <si>
    <t xml:space="preserve">Q106805967</t>
  </si>
  <si>
    <t xml:space="preserve">7502757-4</t>
  </si>
  <si>
    <t xml:space="preserve">http://w3id.org/arkumu/event-types/event-type-6</t>
  </si>
  <si>
    <t xml:space="preserve">Exhibition</t>
  </si>
  <si>
    <t xml:space="preserve">Ausstellung</t>
  </si>
  <si>
    <t xml:space="preserve">Kunstausstellung,Gruppenausstellung,Einzelausstellung</t>
  </si>
  <si>
    <t xml:space="preserve">Q464980</t>
  </si>
  <si>
    <t xml:space="preserve">4129601-1</t>
  </si>
  <si>
    <t xml:space="preserve">lido00225</t>
  </si>
  <si>
    <t xml:space="preserve">http://w3id.org/arkumu/event-types/event-type-7</t>
  </si>
  <si>
    <t xml:space="preserve">Exhibition Opening</t>
  </si>
  <si>
    <t xml:space="preserve">Vernissage,Private View,Opening Reception,Gallery Opening,Gallery Reception</t>
  </si>
  <si>
    <t xml:space="preserve">Ausstellungseröffnung</t>
  </si>
  <si>
    <t xml:space="preserve">Vernissage</t>
  </si>
  <si>
    <t xml:space="preserve">Q772257</t>
  </si>
  <si>
    <t xml:space="preserve">4435671-7</t>
  </si>
  <si>
    <t xml:space="preserve">http://w3id.org/arkumu/event-types/event-type-8</t>
  </si>
  <si>
    <t xml:space="preserve">Award</t>
  </si>
  <si>
    <t xml:space="preserve">Prize</t>
  </si>
  <si>
    <t xml:space="preserve">Auszeichnung</t>
  </si>
  <si>
    <t xml:space="preserve">Ehrung,Preis</t>
  </si>
  <si>
    <t xml:space="preserve">Q618779</t>
  </si>
  <si>
    <t xml:space="preserve">4338046-3</t>
  </si>
  <si>
    <t xml:space="preserve">http://w3id.org/arkumu/event-types/event-type-9</t>
  </si>
  <si>
    <t xml:space="preserve">Commissioning</t>
  </si>
  <si>
    <t xml:space="preserve">Order</t>
  </si>
  <si>
    <t xml:space="preserve">Beauftragung</t>
  </si>
  <si>
    <t xml:space="preserve">Auftrag,Order</t>
  </si>
  <si>
    <t xml:space="preserve">Q566889</t>
  </si>
  <si>
    <t xml:space="preserve">4003557-8</t>
  </si>
  <si>
    <t xml:space="preserve">lido00226</t>
  </si>
  <si>
    <t xml:space="preserve">http://w3id.org/arkumu/event-types/event-type-10</t>
  </si>
  <si>
    <t xml:space="preserve">Modification</t>
  </si>
  <si>
    <t xml:space="preserve">Revision,Edit,Editing,Processing</t>
  </si>
  <si>
    <t xml:space="preserve">Bearbeitung</t>
  </si>
  <si>
    <t xml:space="preserve">Revision,Umarbeitung,Adaption</t>
  </si>
  <si>
    <t xml:space="preserve">Q109243379</t>
  </si>
  <si>
    <t xml:space="preserve">4120981-3</t>
  </si>
  <si>
    <t xml:space="preserve">lido00006</t>
  </si>
  <si>
    <t xml:space="preserve">http://w3id.org/arkumu/event-types/event-type-11</t>
  </si>
  <si>
    <t xml:space="preserve">Data Conversion</t>
  </si>
  <si>
    <t xml:space="preserve">Datenkonvertierung</t>
  </si>
  <si>
    <t xml:space="preserve">Konvertierung</t>
  </si>
  <si>
    <t xml:space="preserve">Q1783551</t>
  </si>
  <si>
    <t xml:space="preserve">4138254-7</t>
  </si>
  <si>
    <t xml:space="preserve">http://w3id.org/arkumu/event-types/event-type-12</t>
  </si>
  <si>
    <t xml:space="preserve">Digitisation</t>
  </si>
  <si>
    <t xml:space="preserve">Retrodigitisation</t>
  </si>
  <si>
    <t xml:space="preserve">Digitalisierung</t>
  </si>
  <si>
    <t xml:space="preserve">Retrodigitalisierung</t>
  </si>
  <si>
    <t xml:space="preserve">Q843958</t>
  </si>
  <si>
    <t xml:space="preserve">4123065-6</t>
  </si>
  <si>
    <t xml:space="preserve">http://w3id.org/arkumu/event-types/event-type-13</t>
  </si>
  <si>
    <t xml:space="preserve">Design</t>
  </si>
  <si>
    <t xml:space="preserve">Designing</t>
  </si>
  <si>
    <t xml:space="preserve">Entwurf</t>
  </si>
  <si>
    <t xml:space="preserve">Entwerfen,Gestaltung</t>
  </si>
  <si>
    <t xml:space="preserve">Q1519454</t>
  </si>
  <si>
    <t xml:space="preserve">4121208-3</t>
  </si>
  <si>
    <t xml:space="preserve">lido00224</t>
  </si>
  <si>
    <t xml:space="preserve">http://w3id.org/arkumu/event-types/event-type-14</t>
  </si>
  <si>
    <t xml:space="preserve">TV Première</t>
  </si>
  <si>
    <t xml:space="preserve">First TV Broadcast</t>
  </si>
  <si>
    <t xml:space="preserve">Erstausstrahlung</t>
  </si>
  <si>
    <t xml:space="preserve">Erstsendung</t>
  </si>
  <si>
    <t xml:space="preserve">Q118581977</t>
  </si>
  <si>
    <t xml:space="preserve">http://w3id.org/arkumu/event-types/event-type-15</t>
  </si>
  <si>
    <t xml:space="preserve">Acquisition</t>
  </si>
  <si>
    <t xml:space="preserve">Transfer of Legal Ownership,Transfer of Title </t>
  </si>
  <si>
    <t xml:space="preserve">Akquise,Erwerbung,Zugang (Erwerb)</t>
  </si>
  <si>
    <t xml:space="preserve">Q3604747</t>
  </si>
  <si>
    <t xml:space="preserve">4212536-4</t>
  </si>
  <si>
    <t xml:space="preserve">lido00001</t>
  </si>
  <si>
    <t xml:space="preserve">http://w3id.org/arkumu/event-types/event-type-16</t>
  </si>
  <si>
    <t xml:space="preserve">Festival</t>
  </si>
  <si>
    <t xml:space="preserve">Q132241</t>
  </si>
  <si>
    <t xml:space="preserve">4154198-4</t>
  </si>
  <si>
    <t xml:space="preserve">http://w3id.org/arkumu/event-types/event-type-17</t>
  </si>
  <si>
    <t xml:space="preserve">Film Festival</t>
  </si>
  <si>
    <t xml:space="preserve">Filmfestival</t>
  </si>
  <si>
    <t xml:space="preserve">Filmfestspiel</t>
  </si>
  <si>
    <t xml:space="preserve">Q220505</t>
  </si>
  <si>
    <t xml:space="preserve">4359942-4</t>
  </si>
  <si>
    <t xml:space="preserve">http://w3id.org/arkumu/event-types/event-type-18</t>
  </si>
  <si>
    <t xml:space="preserve">Film Screening</t>
  </si>
  <si>
    <t xml:space="preserve">Screening</t>
  </si>
  <si>
    <t xml:space="preserve">Filmvorführung</t>
  </si>
  <si>
    <t xml:space="preserve">Vorführung</t>
  </si>
  <si>
    <t xml:space="preserve">Q2295790</t>
  </si>
  <si>
    <t xml:space="preserve">4196355-6</t>
  </si>
  <si>
    <t xml:space="preserve">http://w3id.org/arkumu/event-types/event-type-19</t>
  </si>
  <si>
    <t xml:space="preserve">Electroplating</t>
  </si>
  <si>
    <t xml:space="preserve">Galvanisierung</t>
  </si>
  <si>
    <t xml:space="preserve">Galvanotechnik,Galvanische Beschichtung</t>
  </si>
  <si>
    <t xml:space="preserve">Q3503392</t>
  </si>
  <si>
    <t xml:space="preserve">4129892-5</t>
  </si>
  <si>
    <t xml:space="preserve">http://w3id.org/arkumu/event-types/event-type-20</t>
  </si>
  <si>
    <t xml:space="preserve">Guest Performance</t>
  </si>
  <si>
    <t xml:space="preserve">Gast-Performance</t>
  </si>
  <si>
    <t xml:space="preserve">Gastspiel</t>
  </si>
  <si>
    <t xml:space="preserve">Q40249767</t>
  </si>
  <si>
    <t xml:space="preserve">4255674-0</t>
  </si>
  <si>
    <t xml:space="preserve">http://w3id.org/arkumu/event-types/event-type-21</t>
  </si>
  <si>
    <t xml:space="preserve">Creation</t>
  </si>
  <si>
    <t xml:space="preserve">Conception</t>
  </si>
  <si>
    <t xml:space="preserve">Geistige Schöpfung</t>
  </si>
  <si>
    <t xml:space="preserve">Begriffliche Schöpfung,Intellektuelle Schöpfung,Konzeptuelle Schöpfung,Künstlerische Schöpfung</t>
  </si>
  <si>
    <t xml:space="preserve">Q11398090</t>
  </si>
  <si>
    <t xml:space="preserve">lido00012</t>
  </si>
  <si>
    <t xml:space="preserve">http://w3id.org/arkumu/event-types/event-type-22</t>
  </si>
  <si>
    <t xml:space="preserve">Production</t>
  </si>
  <si>
    <t xml:space="preserve">Manufacturing</t>
  </si>
  <si>
    <t xml:space="preserve">Herstellung</t>
  </si>
  <si>
    <t xml:space="preserve">Produktion,Fabrikation,Fertigung</t>
  </si>
  <si>
    <t xml:space="preserve">Q739302</t>
  </si>
  <si>
    <t xml:space="preserve">4159653-5</t>
  </si>
  <si>
    <t xml:space="preserve">lido00007</t>
  </si>
  <si>
    <t xml:space="preserve">http://w3id.org/arkumu/event-types/event-type-23</t>
  </si>
  <si>
    <t xml:space="preserve">Interview</t>
  </si>
  <si>
    <t xml:space="preserve">Studiogespräch</t>
  </si>
  <si>
    <t xml:space="preserve">Q178651</t>
  </si>
  <si>
    <t xml:space="preserve">4027503-6</t>
  </si>
  <si>
    <t xml:space="preserve">http://w3id.org/arkumu/event-types/event-type-24</t>
  </si>
  <si>
    <t xml:space="preserve">Colloquium</t>
  </si>
  <si>
    <t xml:space="preserve">Kolloquium</t>
  </si>
  <si>
    <t xml:space="preserve">Q4228029</t>
  </si>
  <si>
    <t xml:space="preserve">http://w3id.org/arkumu/event-types/event-type-25</t>
  </si>
  <si>
    <t xml:space="preserve">Concert</t>
  </si>
  <si>
    <t xml:space="preserve">Konzert</t>
  </si>
  <si>
    <t xml:space="preserve">Konzertabend</t>
  </si>
  <si>
    <t xml:space="preserve">Q182832</t>
  </si>
  <si>
    <t xml:space="preserve">4317474-7</t>
  </si>
  <si>
    <t xml:space="preserve">http://w3id.org/arkumu/event-types/event-type-26</t>
  </si>
  <si>
    <t xml:space="preserve">Concert Series</t>
  </si>
  <si>
    <t xml:space="preserve">Series of Concerts</t>
  </si>
  <si>
    <t xml:space="preserve">Konzertreihe</t>
  </si>
  <si>
    <t xml:space="preserve">Q107736918</t>
  </si>
  <si>
    <t xml:space="preserve">4432417-0</t>
  </si>
  <si>
    <t xml:space="preserve">http://w3id.org/arkumu/event-types/event-type-27</t>
  </si>
  <si>
    <t xml:space="preserve">Master Class</t>
  </si>
  <si>
    <t xml:space="preserve">Meisterklasse</t>
  </si>
  <si>
    <t xml:space="preserve">Q2537465</t>
  </si>
  <si>
    <t xml:space="preserve">http://w3id.org/arkumu/event-types/event-type-28</t>
  </si>
  <si>
    <t xml:space="preserve">Musical Composition</t>
  </si>
  <si>
    <t xml:space="preserve">Musikalische Komposition</t>
  </si>
  <si>
    <t xml:space="preserve">Komposition,Komponieren</t>
  </si>
  <si>
    <t xml:space="preserve">Q11895763</t>
  </si>
  <si>
    <t xml:space="preserve">4133320-2</t>
  </si>
  <si>
    <t xml:space="preserve">http://w3id.org/arkumu/event-types/event-type-29</t>
  </si>
  <si>
    <t xml:space="preserve">Music Festival</t>
  </si>
  <si>
    <t xml:space="preserve">Musikfestival</t>
  </si>
  <si>
    <t xml:space="preserve">Q868557</t>
  </si>
  <si>
    <t xml:space="preserve">4170821-0</t>
  </si>
  <si>
    <t xml:space="preserve">http://w3id.org/arkumu/event-types/event-type-30</t>
  </si>
  <si>
    <t xml:space="preserve">Performance</t>
  </si>
  <si>
    <t xml:space="preserve">Aktion</t>
  </si>
  <si>
    <t xml:space="preserve">Q213156</t>
  </si>
  <si>
    <t xml:space="preserve">4173750-7</t>
  </si>
  <si>
    <t xml:space="preserve">http://w3id.org/arkumu/event-types/event-type-31</t>
  </si>
  <si>
    <t xml:space="preserve">Planning</t>
  </si>
  <si>
    <t xml:space="preserve">Planung</t>
  </si>
  <si>
    <t xml:space="preserve">Q309100</t>
  </si>
  <si>
    <t xml:space="preserve">4046235-3 </t>
  </si>
  <si>
    <t xml:space="preserve">lido00032</t>
  </si>
  <si>
    <t xml:space="preserve">http://w3id.org/arkumu/event-types/event-type-32</t>
  </si>
  <si>
    <t xml:space="preserve">Panel Discussion</t>
  </si>
  <si>
    <t xml:space="preserve">Podiumsdiskussion</t>
  </si>
  <si>
    <t xml:space="preserve">Podiumsgespräch</t>
  </si>
  <si>
    <t xml:space="preserve">Q2100278</t>
  </si>
  <si>
    <t xml:space="preserve">4614247-2</t>
  </si>
  <si>
    <t xml:space="preserve">http://w3id.org/arkumu/event-types/event-type-33</t>
  </si>
  <si>
    <t xml:space="preserve">Award Ceremony</t>
  </si>
  <si>
    <t xml:space="preserve">Preisverleihung</t>
  </si>
  <si>
    <t xml:space="preserve">Q4504495</t>
  </si>
  <si>
    <t xml:space="preserve">http://w3id.org/arkumu/event-types/event-type-34</t>
  </si>
  <si>
    <t xml:space="preserve">Première</t>
  </si>
  <si>
    <t xml:space="preserve">Premiere</t>
  </si>
  <si>
    <t xml:space="preserve">Erstaufführung</t>
  </si>
  <si>
    <t xml:space="preserve">Q204854</t>
  </si>
  <si>
    <t xml:space="preserve">4519367-8</t>
  </si>
  <si>
    <t xml:space="preserve">http://w3id.org/arkumu/event-types/event-type-35</t>
  </si>
  <si>
    <t xml:space="preserve">Rehearsal</t>
  </si>
  <si>
    <t xml:space="preserve">Probe</t>
  </si>
  <si>
    <t xml:space="preserve">Q1751775</t>
  </si>
  <si>
    <t xml:space="preserve">7660069-5</t>
  </si>
  <si>
    <t xml:space="preserve">http://w3id.org/arkumu/event-types/event-type-36</t>
  </si>
  <si>
    <t xml:space="preserve">Speech</t>
  </si>
  <si>
    <t xml:space="preserve">Oration,Address</t>
  </si>
  <si>
    <t xml:space="preserve">Rede</t>
  </si>
  <si>
    <t xml:space="preserve">Oration,Ansprache</t>
  </si>
  <si>
    <t xml:space="preserve">Q861911</t>
  </si>
  <si>
    <t xml:space="preserve">4048882-2</t>
  </si>
  <si>
    <t xml:space="preserve">http://w3id.org/arkumu/event-types/event-type-37</t>
  </si>
  <si>
    <t xml:space="preserve">Annual Exhibition</t>
  </si>
  <si>
    <t xml:space="preserve">Rundgang</t>
  </si>
  <si>
    <t xml:space="preserve">Jahresausstellung</t>
  </si>
  <si>
    <t xml:space="preserve">Q55336815</t>
  </si>
  <si>
    <t xml:space="preserve">http://w3id.org/arkumu/event-types/event-type-38</t>
  </si>
  <si>
    <t xml:space="preserve">Editing (Film/TV/Video)</t>
  </si>
  <si>
    <t xml:space="preserve">Schnitt</t>
  </si>
  <si>
    <t xml:space="preserve">Montage</t>
  </si>
  <si>
    <t xml:space="preserve">Q237893</t>
  </si>
  <si>
    <t xml:space="preserve">4281773-0</t>
  </si>
  <si>
    <t xml:space="preserve">http://w3id.org/arkumu/event-types/event-type-39</t>
  </si>
  <si>
    <t xml:space="preserve">Graduation</t>
  </si>
  <si>
    <t xml:space="preserve">Studienabschluss</t>
  </si>
  <si>
    <t xml:space="preserve">Hochschulabschluss,Graduierung</t>
  </si>
  <si>
    <t xml:space="preserve">Q1054021</t>
  </si>
  <si>
    <t xml:space="preserve">4332831-3</t>
  </si>
  <si>
    <t xml:space="preserve">http://w3id.org/arkumu/event-types/event-type-40</t>
  </si>
  <si>
    <t xml:space="preserve">Summer School</t>
  </si>
  <si>
    <t xml:space="preserve">Sommerakademie</t>
  </si>
  <si>
    <t xml:space="preserve">Sommerschule,Sommerhochschule,Sommeruniversität</t>
  </si>
  <si>
    <t xml:space="preserve">Q647882</t>
  </si>
  <si>
    <t xml:space="preserve">4331584-7</t>
  </si>
  <si>
    <t xml:space="preserve">http://w3id.org/arkumu/event-types/event-type-41</t>
  </si>
  <si>
    <t xml:space="preserve">Conference</t>
  </si>
  <si>
    <t xml:space="preserve">Academic Conference,Scientific Conference,Convention</t>
  </si>
  <si>
    <t xml:space="preserve">Symposium</t>
  </si>
  <si>
    <t xml:space="preserve">Wissenschaftliche Konferenz,Konferenz,Kongress</t>
  </si>
  <si>
    <t xml:space="preserve">Q2020153</t>
  </si>
  <si>
    <t xml:space="preserve">4032055-8</t>
  </si>
  <si>
    <t xml:space="preserve">http://w3id.org/arkumu/event-types/event-type-42</t>
  </si>
  <si>
    <t xml:space="preserve">Thematic Week</t>
  </si>
  <si>
    <t xml:space="preserve">Themed Week</t>
  </si>
  <si>
    <t xml:space="preserve">Themenwoche</t>
  </si>
  <si>
    <t xml:space="preserve">Q10692570</t>
  </si>
  <si>
    <t xml:space="preserve">http://w3id.org/arkumu/event-types/event-type-43</t>
  </si>
  <si>
    <t xml:space="preserve">Sound Recording</t>
  </si>
  <si>
    <t xml:space="preserve">Audio Recording</t>
  </si>
  <si>
    <t xml:space="preserve">Tonaufnahme</t>
  </si>
  <si>
    <t xml:space="preserve">Tonaufzeichnung,Schallaufnahme,Audioaufzeichnung</t>
  </si>
  <si>
    <t xml:space="preserve">Q5057302</t>
  </si>
  <si>
    <t xml:space="preserve">4052020-1</t>
  </si>
  <si>
    <t xml:space="preserve">http://w3id.org/arkumu/event-types/event-type-44</t>
  </si>
  <si>
    <t xml:space="preserve">Transformation</t>
  </si>
  <si>
    <t xml:space="preserve">Umgestaltung</t>
  </si>
  <si>
    <t xml:space="preserve">Umwandlung</t>
  </si>
  <si>
    <t xml:space="preserve">Q10357784</t>
  </si>
  <si>
    <t xml:space="preserve">4452586-2</t>
  </si>
  <si>
    <t xml:space="preserve">lido00029</t>
  </si>
  <si>
    <t xml:space="preserve">http://w3id.org/arkumu/event-types/event-type-45</t>
  </si>
  <si>
    <t xml:space="preserve">World Première</t>
  </si>
  <si>
    <t xml:space="preserve">Uraufführung</t>
  </si>
  <si>
    <t xml:space="preserve">Q2500107</t>
  </si>
  <si>
    <t xml:space="preserve">4236166-7</t>
  </si>
  <si>
    <t xml:space="preserve">http://w3id.org/arkumu/event-types/event-type-46</t>
  </si>
  <si>
    <t xml:space="preserve">Radio Première</t>
  </si>
  <si>
    <t xml:space="preserve">First Radio Broadcast</t>
  </si>
  <si>
    <t xml:space="preserve">Ursendung</t>
  </si>
  <si>
    <t xml:space="preserve">Rundfunk-Premiere</t>
  </si>
  <si>
    <t xml:space="preserve">Q118581694</t>
  </si>
  <si>
    <t xml:space="preserve">http://w3id.org/arkumu/event-types/event-type-47</t>
  </si>
  <si>
    <t xml:space="preserve">Publishing</t>
  </si>
  <si>
    <t xml:space="preserve">Publication</t>
  </si>
  <si>
    <t xml:space="preserve">Veröffentlichung</t>
  </si>
  <si>
    <t xml:space="preserve">Veröffentlichen</t>
  </si>
  <si>
    <t xml:space="preserve">Q3972943</t>
  </si>
  <si>
    <t xml:space="preserve">4187925-9</t>
  </si>
  <si>
    <t xml:space="preserve">lido00228</t>
  </si>
  <si>
    <t xml:space="preserve">http://w3id.org/arkumu/event-types/event-type-48</t>
  </si>
  <si>
    <t xml:space="preserve">Marketing</t>
  </si>
  <si>
    <t xml:space="preserve">Vertrieb</t>
  </si>
  <si>
    <t xml:space="preserve">Vermarktung</t>
  </si>
  <si>
    <t xml:space="preserve">Q39809</t>
  </si>
  <si>
    <t xml:space="preserve">4127117-8</t>
  </si>
  <si>
    <t xml:space="preserve">lido00401</t>
  </si>
  <si>
    <t xml:space="preserve">http://w3id.org/arkumu/event-types/event-type-49</t>
  </si>
  <si>
    <t xml:space="preserve">Lecture</t>
  </si>
  <si>
    <t xml:space="preserve">Talk</t>
  </si>
  <si>
    <t xml:space="preserve">Vorlesung</t>
  </si>
  <si>
    <t xml:space="preserve">Lehrveranstaltung</t>
  </si>
  <si>
    <t xml:space="preserve">Q603773</t>
  </si>
  <si>
    <t xml:space="preserve">4117405-7</t>
  </si>
  <si>
    <t xml:space="preserve">http://w3id.org/arkumu/event-types/event-type-50</t>
  </si>
  <si>
    <t xml:space="preserve">Presentation</t>
  </si>
  <si>
    <t xml:space="preserve">Vortrag</t>
  </si>
  <si>
    <t xml:space="preserve">Fachvortrag,Präsentation,Buchpräsentation</t>
  </si>
  <si>
    <t xml:space="preserve">Q604733</t>
  </si>
  <si>
    <t xml:space="preserve">4064035-8</t>
  </si>
  <si>
    <t xml:space="preserve">http://w3id.org/arkumu/event-types/event-type-51</t>
  </si>
  <si>
    <t xml:space="preserve">Workshop</t>
  </si>
  <si>
    <t xml:space="preserve">Q27556165</t>
  </si>
  <si>
    <t xml:space="preserve">http://w3id.org/arkumu/event-types/event-type-52</t>
  </si>
  <si>
    <t xml:space="preserve">Destruction</t>
  </si>
  <si>
    <t xml:space="preserve">Zerstörung</t>
  </si>
  <si>
    <t xml:space="preserve">Vernichtung</t>
  </si>
  <si>
    <t xml:space="preserve">Q17781833</t>
  </si>
  <si>
    <t xml:space="preserve">4222882-7</t>
  </si>
  <si>
    <t xml:space="preserve">lido00026</t>
  </si>
  <si>
    <t xml:space="preserve">http://w3id.org/arkumu/event-types/event-type-53</t>
  </si>
  <si>
    <t xml:space="preserve">Mastering</t>
  </si>
  <si>
    <t xml:space="preserve">Audio-Mastering</t>
  </si>
  <si>
    <t xml:space="preserve">Q421031</t>
  </si>
  <si>
    <t xml:space="preserve">http://w3id.org/arkumu/event-types/event-type-54</t>
  </si>
  <si>
    <t xml:space="preserve">Documentation</t>
  </si>
  <si>
    <t xml:space="preserve">Dokumentation</t>
  </si>
  <si>
    <t xml:space="preserve">Fotodokumentation</t>
  </si>
  <si>
    <t xml:space="preserve">Q788790</t>
  </si>
  <si>
    <t xml:space="preserve">4012656-0</t>
  </si>
  <si>
    <t xml:space="preserve">http://w3id.org/arkumu/event-types/event-type-55</t>
  </si>
  <si>
    <t xml:space="preserve">Radio Programme</t>
  </si>
  <si>
    <t xml:space="preserve">Radio show,Radio broadcast</t>
  </si>
  <si>
    <t xml:space="preserve">Radiosendung</t>
  </si>
  <si>
    <t xml:space="preserve">Hörfunksendung</t>
  </si>
  <si>
    <t xml:space="preserve">Q1555508</t>
  </si>
  <si>
    <t xml:space="preserve">4160384-9</t>
  </si>
  <si>
    <t xml:space="preserve">http://w3id.org/arkumu/event-types/event-type-56</t>
  </si>
  <si>
    <t xml:space="preserve">Television Programme</t>
  </si>
  <si>
    <t xml:space="preserve">TV Programme,TV Broadcast</t>
  </si>
  <si>
    <t xml:space="preserve">Fernsehausstrahlung</t>
  </si>
  <si>
    <t xml:space="preserve">Fernsehsendung,TV-Sendung</t>
  </si>
  <si>
    <t xml:space="preserve">Q15416</t>
  </si>
  <si>
    <t xml:space="preserve">4016842-6</t>
  </si>
  <si>
    <t xml:space="preserve">http://w3id.org/arkumu/event-types/event-type-57</t>
  </si>
  <si>
    <t xml:space="preserve">Reading</t>
  </si>
  <si>
    <t xml:space="preserve">Lesung</t>
  </si>
  <si>
    <t xml:space="preserve">Literarische Lesung</t>
  </si>
  <si>
    <t xml:space="preserve">Q106499608</t>
  </si>
  <si>
    <t xml:space="preserve">http://w3id.org/arkumu/event-types/event-type-58</t>
  </si>
  <si>
    <t xml:space="preserve">Translation</t>
  </si>
  <si>
    <t xml:space="preserve">Übersetzung</t>
  </si>
  <si>
    <t xml:space="preserve">Q7553</t>
  </si>
  <si>
    <t xml:space="preserve">4061418-9</t>
  </si>
  <si>
    <t xml:space="preserve">http://w3id.org/arkumu/event-types/event-type-59</t>
  </si>
  <si>
    <t xml:space="preserve">Conversation</t>
  </si>
  <si>
    <t xml:space="preserve">Gespräch</t>
  </si>
  <si>
    <t xml:space="preserve">Unterhaltung</t>
  </si>
  <si>
    <t xml:space="preserve">Q52943</t>
  </si>
  <si>
    <t xml:space="preserve">4020713-4</t>
  </si>
  <si>
    <t xml:space="preserve">http://w3id.org/arkumu/event-types/event-type-60</t>
  </si>
  <si>
    <t xml:space="preserve">Event</t>
  </si>
  <si>
    <t xml:space="preserve">Activity</t>
  </si>
  <si>
    <t xml:space="preserve">Veranstaltung</t>
  </si>
  <si>
    <t xml:space="preserve">Q1656682</t>
  </si>
  <si>
    <t xml:space="preserve">4125453-3</t>
  </si>
  <si>
    <t xml:space="preserve">http://w3id.org/arkumu/event-types/event-type-61</t>
  </si>
  <si>
    <t xml:space="preserve">Live Streaming</t>
  </si>
  <si>
    <t xml:space="preserve">Live Stream</t>
  </si>
  <si>
    <t xml:space="preserve">Live-Streaming</t>
  </si>
  <si>
    <t xml:space="preserve">Live-Stream,Echtzeitübertragung,Live Stream,Livestream</t>
  </si>
  <si>
    <t xml:space="preserve">Q3027665</t>
  </si>
  <si>
    <t xml:space="preserve">4614855-3</t>
  </si>
  <si>
    <t xml:space="preserve">http://w3id.org/arkumu/event-types/event-type-62</t>
  </si>
  <si>
    <t xml:space="preserve">Course</t>
  </si>
  <si>
    <t xml:space="preserve">Class,Educational Course,Academic Course</t>
  </si>
  <si>
    <t xml:space="preserve">Kurs</t>
  </si>
  <si>
    <t xml:space="preserve">Q600134</t>
  </si>
  <si>
    <t xml:space="preserve">4166215-5</t>
  </si>
  <si>
    <t xml:space="preserve">http://w3id.org/arkumu/event-types/event-type-63</t>
  </si>
  <si>
    <t xml:space="preserve">Open House</t>
  </si>
  <si>
    <t xml:space="preserve">Tag der offenen Tür</t>
  </si>
  <si>
    <t xml:space="preserve">TdoT</t>
  </si>
  <si>
    <t xml:space="preserve">Q1421331</t>
  </si>
  <si>
    <t xml:space="preserve">4193984-0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</si>
</sst>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5">
    <font>
      <sz val="11"/>
      <color theme="1"/>
      <name val="Aptos Narrow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Ubuntu Sans"/>
      <family val="2"/>
    </font>
    <font>
      <sz val="10"/>
      <color theme="1"/>
      <name val="Ubuntu Sans"/>
      <family val="2"/>
    </font>
    <font>
      <sz val="10"/>
      <color theme="10"/>
      <name val="Ubuntu Sans"/>
      <family val="2"/>
    </font>
    <font>
      <u val="single"/>
      <sz val="11"/>
      <color theme="10"/>
      <name val="Calibri"/>
      <family val="2"/>
    </font>
    <font>
      <u val="single"/>
      <sz val="10"/>
      <color theme="10"/>
      <name val="Ubuntu Sans"/>
      <family val="2"/>
    </font>
    <font>
      <sz val="10"/>
      <name val="Ubuntu Sans"/>
      <family val="2"/>
    </font>
    <font>
      <sz val="10"/>
      <color rgb="FF000000"/>
      <name val="Ubuntu Sans"/>
      <family val="2"/>
    </font>
    <font>
      <b val="true"/>
      <sz val="10"/>
      <color theme="1"/>
      <name val="Ubuntu Sans"/>
      <family val="2"/>
    </font>
    <font>
      <b val="true"/>
      <sz val="10"/>
      <color theme="1"/>
      <name val="Ubuntu Sans"/>
      <family val="2"/>
    </font>
    <font>
      <b val="true"/>
      <sz val="14"/>
      <name val="Arial"/>
      <family val="2"/>
    </font>
    <font>
      <b val="true"/>
      <sz val="14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"/>
        <bgColor rgb="FFCCFFFF"/>
      </patternFill>
    </fill>
    <fill>
      <patternFill patternType="solid">
        <fgColor rgb="FFDDDDDD"/>
        <bgColor rgb="FFFFD8CE"/>
      </patternFill>
    </fill>
    <fill>
      <patternFill patternType="solid">
        <fgColor rgb="FFFFD8CE"/>
        <bgColor rgb="FFDDDDDD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4">
    <dxf>
      <fill>
        <patternFill patternType="solid">
          <fgColor rgb="FFC4FEB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DDDD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4FEBB"/>
      <rgbColor rgb="FFFFFF99"/>
      <rgbColor rgb="FF99CCFF"/>
      <rgbColor rgb="FFFF99CC"/>
      <rgbColor rgb="FFCC99FF"/>
      <rgbColor rgb="FFFFD8CE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B4" activeCellId="0" sqref="B4"/>
    </sheetView>
  </sheetViews>
  <sheetFormatPr defaultColWidth="9.00390625" defaultRowHeight="15" customHeight="false" zeroHeight="false" outlineLevelRow="0" outlineLevelCol="0"/>
  <cols>
    <col collapsed="false" customWidth="true" hidden="false" outlineLevel="0" max="1" min="1" style="1" width="41.3"/>
    <col collapsed="false" customWidth="true" hidden="false" outlineLevel="0" max="2" min="2" style="2" width="14.13"/>
    <col collapsed="false" customWidth="true" hidden="false" outlineLevel="0" max="3" min="3" style="1" width="38.13"/>
    <col collapsed="false" customWidth="true" hidden="false" outlineLevel="0" max="4" min="4" style="1" width="60.52"/>
    <col collapsed="false" customWidth="true" hidden="false" outlineLevel="0" max="5" min="5" style="1" width="41.37"/>
    <col collapsed="false" customWidth="true" hidden="false" outlineLevel="0" max="6" min="6" style="1" width="60.52"/>
    <col collapsed="false" customWidth="true" hidden="false" outlineLevel="0" max="7" min="7" style="2" width="14.13"/>
    <col collapsed="false" customWidth="true" hidden="false" outlineLevel="0" max="8" min="8" style="2" width="33.53"/>
    <col collapsed="false" customWidth="true" hidden="false" outlineLevel="0" max="9" min="9" style="2" width="12.87"/>
    <col collapsed="false" customWidth="true" hidden="false" outlineLevel="0" max="10" min="10" style="2" width="25.6"/>
    <col collapsed="false" customWidth="true" hidden="false" outlineLevel="0" max="11" min="11" style="2" width="11.75"/>
    <col collapsed="false" customWidth="true" hidden="false" outlineLevel="0" max="13" min="12" style="2" width="23.87"/>
    <col collapsed="false" customWidth="true" hidden="false" outlineLevel="0" max="14" min="14" style="3" width="35.4"/>
  </cols>
  <sheetData>
    <row r="1" customFormat="false" ht="12.8" hidden="false" customHeight="false" outlineLevel="0" collapsed="false">
      <c r="A1" s="4" t="s">
        <v>0</v>
      </c>
      <c r="B1" s="5" t="s">
        <v>1</v>
      </c>
      <c r="C1" s="6"/>
      <c r="D1" s="3"/>
      <c r="E1" s="7" t="s">
        <v>2</v>
      </c>
      <c r="F1" s="8"/>
      <c r="G1" s="3"/>
      <c r="H1" s="3"/>
      <c r="I1" s="3"/>
      <c r="J1" s="3"/>
      <c r="K1" s="3"/>
      <c r="L1" s="3"/>
      <c r="M1" s="3"/>
    </row>
    <row r="2" customFormat="false" ht="12.8" hidden="false" customHeight="false" outlineLevel="0" collapsed="false">
      <c r="A2" s="4" t="s">
        <v>3</v>
      </c>
      <c r="B2" s="9" t="s">
        <v>4</v>
      </c>
      <c r="C2" s="8"/>
      <c r="D2" s="3"/>
      <c r="E2" s="10" t="s">
        <v>5</v>
      </c>
      <c r="F2" s="8"/>
      <c r="G2" s="3"/>
      <c r="H2" s="3"/>
      <c r="I2" s="3"/>
      <c r="J2" s="3"/>
      <c r="K2" s="3"/>
      <c r="L2" s="3"/>
      <c r="M2" s="3"/>
    </row>
    <row r="3" customFormat="false" ht="12.8" hidden="false" customHeight="false" outlineLevel="0" collapsed="false">
      <c r="A3" s="4" t="s">
        <v>6</v>
      </c>
      <c r="B3" s="9" t="s">
        <v>7</v>
      </c>
      <c r="C3" s="8"/>
      <c r="D3" s="3"/>
      <c r="E3" s="11" t="s">
        <v>8</v>
      </c>
      <c r="F3" s="8"/>
      <c r="G3" s="3"/>
      <c r="H3" s="3"/>
      <c r="I3" s="3"/>
      <c r="J3" s="3"/>
      <c r="K3" s="3"/>
      <c r="L3" s="3"/>
      <c r="M3" s="3"/>
    </row>
    <row r="4" customFormat="false" ht="12.8" hidden="false" customHeight="false" outlineLevel="0" collapsed="false">
      <c r="A4" s="4" t="s">
        <v>9</v>
      </c>
      <c r="B4" s="8" t="s">
        <v>10</v>
      </c>
      <c r="C4" s="8" t="str">
        <f aca="false">CONCATENATE($B$1, "/")</f>
        <v>http://w3id.org/arkumu/event-types/</v>
      </c>
      <c r="D4" s="3"/>
      <c r="E4" s="3"/>
      <c r="F4" s="3"/>
      <c r="G4" s="3"/>
      <c r="H4" s="3"/>
      <c r="I4" s="3"/>
      <c r="J4" s="3"/>
      <c r="K4" s="3"/>
      <c r="L4" s="3"/>
      <c r="M4" s="3"/>
    </row>
    <row r="5" customFormat="false" ht="13.8" hidden="false" customHeight="false" outlineLevel="0" collapsed="false">
      <c r="A5" s="4" t="s">
        <v>11</v>
      </c>
      <c r="B5" s="3" t="s">
        <v>1</v>
      </c>
      <c r="C5" s="8"/>
      <c r="D5" s="3"/>
      <c r="E5" s="0"/>
      <c r="F5" s="3"/>
      <c r="G5" s="3"/>
      <c r="H5" s="3"/>
      <c r="I5" s="3"/>
      <c r="J5" s="3"/>
      <c r="K5" s="3"/>
      <c r="L5" s="3"/>
      <c r="M5" s="3"/>
    </row>
    <row r="6" customFormat="false" ht="12.8" hidden="false" customHeight="false" outlineLevel="0" collapsed="false">
      <c r="A6" s="4" t="s">
        <v>12</v>
      </c>
      <c r="B6" s="3" t="s">
        <v>13</v>
      </c>
      <c r="C6" s="8"/>
      <c r="D6" s="3"/>
      <c r="E6" s="3"/>
      <c r="F6" s="3"/>
      <c r="G6" s="3"/>
      <c r="H6" s="3"/>
      <c r="I6" s="3"/>
      <c r="J6" s="3"/>
      <c r="K6" s="3"/>
      <c r="L6" s="3"/>
      <c r="M6" s="3"/>
    </row>
    <row r="7" customFormat="false" ht="13.8" hidden="false" customHeight="false" outlineLevel="0" collapsed="false">
      <c r="A7" s="4" t="s">
        <v>14</v>
      </c>
      <c r="B7" s="3" t="s">
        <v>15</v>
      </c>
      <c r="C7" s="8"/>
      <c r="D7" s="3"/>
      <c r="E7" s="0"/>
      <c r="F7" s="3"/>
      <c r="G7" s="3"/>
      <c r="H7" s="3"/>
      <c r="I7" s="3"/>
      <c r="J7" s="3"/>
      <c r="K7" s="3"/>
      <c r="L7" s="3"/>
      <c r="M7" s="3"/>
    </row>
    <row r="8" customFormat="false" ht="13.8" hidden="false" customHeight="false" outlineLevel="0" collapsed="false">
      <c r="A8" s="4" t="s">
        <v>16</v>
      </c>
      <c r="B8" s="12" t="n">
        <v>46183</v>
      </c>
      <c r="C8" s="8"/>
      <c r="D8" s="3"/>
      <c r="E8" s="0"/>
      <c r="F8" s="3"/>
      <c r="G8" s="3"/>
      <c r="H8" s="3"/>
      <c r="I8" s="3"/>
      <c r="J8" s="3"/>
      <c r="K8" s="3"/>
      <c r="L8" s="3"/>
      <c r="M8" s="3"/>
    </row>
    <row r="9" customFormat="false" ht="13.8" hidden="false" customHeight="false" outlineLevel="0" collapsed="false">
      <c r="A9" s="4" t="s">
        <v>17</v>
      </c>
      <c r="B9" s="11" t="s">
        <v>18</v>
      </c>
      <c r="C9" s="3"/>
      <c r="D9" s="3"/>
      <c r="E9" s="0"/>
      <c r="F9" s="3"/>
      <c r="G9" s="3"/>
      <c r="H9" s="3"/>
      <c r="I9" s="3"/>
      <c r="J9" s="3"/>
      <c r="K9" s="3"/>
      <c r="L9" s="3"/>
      <c r="M9" s="3"/>
    </row>
    <row r="10" customFormat="false" ht="12.8" hidden="false" customHeight="false" outlineLevel="0" collapsed="false">
      <c r="A10" s="4" t="s">
        <v>19</v>
      </c>
      <c r="B10" s="13" t="s">
        <v>20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customFormat="false" ht="12.8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customFormat="false" ht="20.5" hidden="false" customHeight="false" outlineLevel="0" collapsed="false">
      <c r="A12" s="1" t="s">
        <v>21</v>
      </c>
      <c r="B12" s="2" t="s">
        <v>22</v>
      </c>
      <c r="C12" s="1" t="s">
        <v>23</v>
      </c>
      <c r="D12" s="1" t="s">
        <v>24</v>
      </c>
      <c r="E12" s="1" t="s">
        <v>25</v>
      </c>
      <c r="F12" s="1" t="s">
        <v>26</v>
      </c>
      <c r="G12" s="2" t="s">
        <v>27</v>
      </c>
      <c r="H12" s="14" t="s">
        <v>28</v>
      </c>
      <c r="I12" s="2" t="s">
        <v>29</v>
      </c>
      <c r="J12" s="15" t="s">
        <v>30</v>
      </c>
      <c r="K12" s="2" t="s">
        <v>31</v>
      </c>
      <c r="L12" s="14" t="s">
        <v>32</v>
      </c>
      <c r="M12" s="2" t="s">
        <v>33</v>
      </c>
      <c r="N12" s="14" t="s">
        <v>34</v>
      </c>
    </row>
    <row r="13" customFormat="false" ht="12.8" hidden="false" customHeight="false" outlineLevel="0" collapsed="false"/>
    <row r="14" customFormat="false" ht="12.8" hidden="false" customHeight="false" outlineLevel="0" collapsed="false">
      <c r="A14" s="14" t="s">
        <v>21</v>
      </c>
      <c r="B14" s="14" t="s">
        <v>35</v>
      </c>
      <c r="C14" s="14" t="s">
        <v>36</v>
      </c>
      <c r="D14" s="14" t="s">
        <v>37</v>
      </c>
      <c r="E14" s="14" t="s">
        <v>38</v>
      </c>
      <c r="F14" s="14" t="s">
        <v>39</v>
      </c>
      <c r="G14" s="16" t="s">
        <v>40</v>
      </c>
      <c r="H14" s="14" t="s">
        <v>41</v>
      </c>
      <c r="I14" s="16" t="s">
        <v>40</v>
      </c>
      <c r="J14" s="14" t="s">
        <v>41</v>
      </c>
      <c r="K14" s="16" t="s">
        <v>40</v>
      </c>
      <c r="L14" s="14" t="s">
        <v>41</v>
      </c>
      <c r="M14" s="16" t="s">
        <v>40</v>
      </c>
      <c r="N14" s="14" t="s">
        <v>41</v>
      </c>
    </row>
    <row r="15" customFormat="false" ht="12.8" hidden="false" customHeight="false" outlineLevel="0" collapsed="false">
      <c r="A15" s="1" t="s">
        <v>42</v>
      </c>
      <c r="B15" s="2" t="n">
        <v>1</v>
      </c>
      <c r="C15" s="1" t="s">
        <v>43</v>
      </c>
      <c r="E15" s="1" t="s">
        <v>44</v>
      </c>
      <c r="F15" s="1" t="s">
        <v>45</v>
      </c>
      <c r="G15" s="2" t="s">
        <v>46</v>
      </c>
      <c r="H15" s="8" t="str">
        <f aca="false">CONCATENATE("http://www.wikidata.org/entity/",G15)</f>
        <v>http://www.wikidata.org/entity/Q1369832</v>
      </c>
      <c r="I15" s="2" t="s">
        <v>47</v>
      </c>
      <c r="J15" s="8" t="str">
        <f aca="false">CONCATENATE("https://d-nb.info/gnd/",I15)</f>
        <v>https://d-nb.info/gnd/4128692-3</v>
      </c>
    </row>
    <row r="16" customFormat="false" ht="12.8" hidden="false" customHeight="false" outlineLevel="0" collapsed="false">
      <c r="A16" s="1" t="s">
        <v>48</v>
      </c>
      <c r="B16" s="2" t="n">
        <v>2</v>
      </c>
      <c r="C16" s="1" t="s">
        <v>49</v>
      </c>
      <c r="E16" s="1" t="s">
        <v>50</v>
      </c>
      <c r="G16" s="2" t="s">
        <v>51</v>
      </c>
      <c r="H16" s="8" t="str">
        <f aca="false">CONCATENATE("http://www.wikidata.org/entity/",G16)</f>
        <v>http://www.wikidata.org/entity/Q609261</v>
      </c>
      <c r="I16" s="2" t="s">
        <v>52</v>
      </c>
      <c r="J16" s="8" t="str">
        <f aca="false">CONCATENATE("https://d-nb.info/gnd/",I16)</f>
        <v>https://d-nb.info/gnd/4426602-9</v>
      </c>
    </row>
    <row r="17" customFormat="false" ht="12.8" hidden="false" customHeight="false" outlineLevel="0" collapsed="false">
      <c r="A17" s="1" t="s">
        <v>53</v>
      </c>
      <c r="B17" s="2" t="n">
        <v>3</v>
      </c>
      <c r="C17" s="1" t="s">
        <v>54</v>
      </c>
      <c r="D17" s="1" t="s">
        <v>55</v>
      </c>
      <c r="E17" s="1" t="s">
        <v>54</v>
      </c>
      <c r="G17" s="2" t="s">
        <v>56</v>
      </c>
      <c r="H17" s="8" t="str">
        <f aca="false">CONCATENATE("http://www.wikidata.org/entity/",G17)</f>
        <v>http://www.wikidata.org/entity/Q379755</v>
      </c>
      <c r="I17" s="2" t="s">
        <v>57</v>
      </c>
      <c r="J17" s="8" t="str">
        <f aca="false">CONCATENATE("https://d-nb.info/gnd/",I17)</f>
        <v>https://d-nb.info/gnd/4285138-5</v>
      </c>
    </row>
    <row r="18" customFormat="false" ht="12.8" hidden="false" customHeight="false" outlineLevel="0" collapsed="false">
      <c r="A18" s="1" t="s">
        <v>58</v>
      </c>
      <c r="B18" s="2" t="n">
        <v>4</v>
      </c>
      <c r="C18" s="1" t="s">
        <v>59</v>
      </c>
      <c r="E18" s="1" t="s">
        <v>60</v>
      </c>
      <c r="G18" s="2" t="s">
        <v>61</v>
      </c>
      <c r="H18" s="8" t="str">
        <f aca="false">CONCATENATE("http://www.wikidata.org/entity/",G18)</f>
        <v>http://www.wikidata.org/entity/Q35140</v>
      </c>
      <c r="I18" s="2" t="s">
        <v>62</v>
      </c>
      <c r="J18" s="8" t="str">
        <f aca="false">CONCATENATE("https://d-nb.info/gnd/",I18)</f>
        <v>https://d-nb.info/gnd/4143388-9</v>
      </c>
      <c r="M18" s="2" t="s">
        <v>63</v>
      </c>
      <c r="N18" s="8" t="str">
        <f aca="false">CONCATENATE("http://terminology.lido-schema.org/",M18)</f>
        <v>http://terminology.lido-schema.org/lido00030</v>
      </c>
    </row>
    <row r="19" customFormat="false" ht="12.8" hidden="false" customHeight="false" outlineLevel="0" collapsed="false">
      <c r="A19" s="1" t="s">
        <v>64</v>
      </c>
      <c r="B19" s="2" t="n">
        <v>5</v>
      </c>
      <c r="C19" s="1" t="s">
        <v>65</v>
      </c>
      <c r="E19" s="1" t="s">
        <v>66</v>
      </c>
      <c r="F19" s="1" t="s">
        <v>67</v>
      </c>
      <c r="G19" s="2" t="s">
        <v>68</v>
      </c>
      <c r="H19" s="8" t="str">
        <f aca="false">CONCATENATE("http://www.wikidata.org/entity/",G19)</f>
        <v>http://www.wikidata.org/entity/Q106805967</v>
      </c>
      <c r="I19" s="2" t="s">
        <v>69</v>
      </c>
      <c r="J19" s="8" t="str">
        <f aca="false">CONCATENATE("https://d-nb.info/gnd/",I19)</f>
        <v>https://d-nb.info/gnd/7502757-4</v>
      </c>
      <c r="M19" s="2" t="s">
        <v>63</v>
      </c>
      <c r="N19" s="8" t="str">
        <f aca="false">CONCATENATE("http://terminology.lido-schema.org/",M19)</f>
        <v>http://terminology.lido-schema.org/lido00030</v>
      </c>
    </row>
    <row r="20" customFormat="false" ht="12.8" hidden="false" customHeight="false" outlineLevel="0" collapsed="false">
      <c r="A20" s="1" t="s">
        <v>70</v>
      </c>
      <c r="B20" s="2" t="n">
        <v>6</v>
      </c>
      <c r="C20" s="1" t="s">
        <v>71</v>
      </c>
      <c r="E20" s="1" t="s">
        <v>72</v>
      </c>
      <c r="F20" s="1" t="s">
        <v>73</v>
      </c>
      <c r="G20" s="2" t="s">
        <v>74</v>
      </c>
      <c r="H20" s="8" t="str">
        <f aca="false">CONCATENATE("http://www.wikidata.org/entity/",G20)</f>
        <v>http://www.wikidata.org/entity/Q464980</v>
      </c>
      <c r="I20" s="2" t="s">
        <v>75</v>
      </c>
      <c r="J20" s="8" t="str">
        <f aca="false">CONCATENATE("https://d-nb.info/gnd/",I20)</f>
        <v>https://d-nb.info/gnd/4129601-1</v>
      </c>
      <c r="K20" s="2" t="n">
        <v>300054766</v>
      </c>
      <c r="L20" s="8" t="str">
        <f aca="false">CONCATENATE("https://vocab.getty.edu/aat/",K20)</f>
        <v>https://vocab.getty.edu/aat/300054766</v>
      </c>
      <c r="M20" s="2" t="s">
        <v>76</v>
      </c>
      <c r="N20" s="8" t="str">
        <f aca="false">CONCATENATE("http://terminology.lido-schema.org/",M20)</f>
        <v>http://terminology.lido-schema.org/lido00225</v>
      </c>
    </row>
    <row r="21" customFormat="false" ht="12.8" hidden="false" customHeight="false" outlineLevel="0" collapsed="false">
      <c r="A21" s="1" t="s">
        <v>77</v>
      </c>
      <c r="B21" s="2" t="n">
        <v>7</v>
      </c>
      <c r="C21" s="1" t="s">
        <v>78</v>
      </c>
      <c r="D21" s="1" t="s">
        <v>79</v>
      </c>
      <c r="E21" s="1" t="s">
        <v>80</v>
      </c>
      <c r="F21" s="1" t="s">
        <v>81</v>
      </c>
      <c r="G21" s="2" t="s">
        <v>82</v>
      </c>
      <c r="H21" s="8" t="str">
        <f aca="false">CONCATENATE("http://www.wikidata.org/entity/",G21)</f>
        <v>http://www.wikidata.org/entity/Q772257</v>
      </c>
      <c r="I21" s="2" t="s">
        <v>83</v>
      </c>
      <c r="J21" s="8" t="str">
        <f aca="false">CONCATENATE("https://d-nb.info/gnd/",I21)</f>
        <v>https://d-nb.info/gnd/4435671-7</v>
      </c>
    </row>
    <row r="22" customFormat="false" ht="12.8" hidden="false" customHeight="false" outlineLevel="0" collapsed="false">
      <c r="A22" s="1" t="s">
        <v>84</v>
      </c>
      <c r="B22" s="2" t="n">
        <v>8</v>
      </c>
      <c r="C22" s="1" t="s">
        <v>85</v>
      </c>
      <c r="D22" s="1" t="s">
        <v>86</v>
      </c>
      <c r="E22" s="1" t="s">
        <v>87</v>
      </c>
      <c r="F22" s="1" t="s">
        <v>88</v>
      </c>
      <c r="G22" s="2" t="s">
        <v>89</v>
      </c>
      <c r="H22" s="8" t="str">
        <f aca="false">CONCATENATE("http://www.wikidata.org/entity/",G22)</f>
        <v>http://www.wikidata.org/entity/Q618779</v>
      </c>
      <c r="I22" s="2" t="s">
        <v>90</v>
      </c>
      <c r="J22" s="8" t="str">
        <f aca="false">CONCATENATE("https://d-nb.info/gnd/",I22)</f>
        <v>https://d-nb.info/gnd/4338046-3</v>
      </c>
    </row>
    <row r="23" customFormat="false" ht="12.8" hidden="false" customHeight="false" outlineLevel="0" collapsed="false">
      <c r="A23" s="1" t="s">
        <v>91</v>
      </c>
      <c r="B23" s="2" t="n">
        <v>9</v>
      </c>
      <c r="C23" s="1" t="s">
        <v>92</v>
      </c>
      <c r="D23" s="1" t="s">
        <v>93</v>
      </c>
      <c r="E23" s="1" t="s">
        <v>94</v>
      </c>
      <c r="F23" s="1" t="s">
        <v>95</v>
      </c>
      <c r="G23" s="2" t="s">
        <v>96</v>
      </c>
      <c r="H23" s="8" t="str">
        <f aca="false">CONCATENATE("http://www.wikidata.org/entity/",G23)</f>
        <v>http://www.wikidata.org/entity/Q566889</v>
      </c>
      <c r="I23" s="2" t="s">
        <v>97</v>
      </c>
      <c r="J23" s="8" t="str">
        <f aca="false">CONCATENATE("https://d-nb.info/gnd/",I23)</f>
        <v>https://d-nb.info/gnd/4003557-8</v>
      </c>
      <c r="M23" s="2" t="s">
        <v>98</v>
      </c>
      <c r="N23" s="8" t="str">
        <f aca="false">CONCATENATE("http://terminology.lido-schema.org/",M23)</f>
        <v>http://terminology.lido-schema.org/lido00226</v>
      </c>
    </row>
    <row r="24" customFormat="false" ht="12.8" hidden="false" customHeight="false" outlineLevel="0" collapsed="false">
      <c r="A24" s="1" t="s">
        <v>99</v>
      </c>
      <c r="B24" s="2" t="n">
        <v>10</v>
      </c>
      <c r="C24" s="1" t="s">
        <v>100</v>
      </c>
      <c r="D24" s="1" t="s">
        <v>101</v>
      </c>
      <c r="E24" s="1" t="s">
        <v>102</v>
      </c>
      <c r="F24" s="1" t="s">
        <v>103</v>
      </c>
      <c r="G24" s="2" t="s">
        <v>104</v>
      </c>
      <c r="H24" s="8" t="str">
        <f aca="false">CONCATENATE("http://www.wikidata.org/entity/",G24)</f>
        <v>http://www.wikidata.org/entity/Q109243379</v>
      </c>
      <c r="I24" s="2" t="s">
        <v>105</v>
      </c>
      <c r="J24" s="8" t="str">
        <f aca="false">CONCATENATE("https://d-nb.info/gnd/",I24)</f>
        <v>https://d-nb.info/gnd/4120981-3</v>
      </c>
      <c r="M24" s="2" t="s">
        <v>106</v>
      </c>
      <c r="N24" s="8" t="str">
        <f aca="false">CONCATENATE("http://terminology.lido-schema.org/",M24)</f>
        <v>http://terminology.lido-schema.org/lido00006</v>
      </c>
    </row>
    <row r="25" customFormat="false" ht="12.8" hidden="false" customHeight="false" outlineLevel="0" collapsed="false">
      <c r="A25" s="1" t="s">
        <v>107</v>
      </c>
      <c r="B25" s="2" t="n">
        <v>11</v>
      </c>
      <c r="C25" s="1" t="s">
        <v>108</v>
      </c>
      <c r="E25" s="1" t="s">
        <v>109</v>
      </c>
      <c r="F25" s="1" t="s">
        <v>110</v>
      </c>
      <c r="G25" s="2" t="s">
        <v>111</v>
      </c>
      <c r="H25" s="8" t="str">
        <f aca="false">CONCATENATE("http://www.wikidata.org/entity/",G25)</f>
        <v>http://www.wikidata.org/entity/Q1783551</v>
      </c>
      <c r="I25" s="2" t="s">
        <v>112</v>
      </c>
      <c r="J25" s="8" t="str">
        <f aca="false">CONCATENATE("https://d-nb.info/gnd/",I25)</f>
        <v>https://d-nb.info/gnd/4138254-7</v>
      </c>
    </row>
    <row r="26" customFormat="false" ht="12.8" hidden="false" customHeight="false" outlineLevel="0" collapsed="false">
      <c r="A26" s="1" t="s">
        <v>113</v>
      </c>
      <c r="B26" s="2" t="n">
        <v>12</v>
      </c>
      <c r="C26" s="1" t="s">
        <v>114</v>
      </c>
      <c r="D26" s="1" t="s">
        <v>115</v>
      </c>
      <c r="E26" s="1" t="s">
        <v>116</v>
      </c>
      <c r="F26" s="1" t="s">
        <v>117</v>
      </c>
      <c r="G26" s="2" t="s">
        <v>118</v>
      </c>
      <c r="H26" s="8" t="str">
        <f aca="false">CONCATENATE("http://www.wikidata.org/entity/",G26)</f>
        <v>http://www.wikidata.org/entity/Q843958</v>
      </c>
      <c r="I26" s="2" t="s">
        <v>119</v>
      </c>
      <c r="J26" s="8" t="str">
        <f aca="false">CONCATENATE("https://d-nb.info/gnd/",I26)</f>
        <v>https://d-nb.info/gnd/4123065-6</v>
      </c>
      <c r="K26" s="2" t="n">
        <v>300202383</v>
      </c>
      <c r="L26" s="8" t="str">
        <f aca="false">CONCATENATE("https://vocab.getty.edu/aat/",K26)</f>
        <v>https://vocab.getty.edu/aat/300202383</v>
      </c>
    </row>
    <row r="27" customFormat="false" ht="12.8" hidden="false" customHeight="false" outlineLevel="0" collapsed="false">
      <c r="A27" s="1" t="s">
        <v>120</v>
      </c>
      <c r="B27" s="2" t="n">
        <v>13</v>
      </c>
      <c r="C27" s="1" t="s">
        <v>121</v>
      </c>
      <c r="D27" s="1" t="s">
        <v>122</v>
      </c>
      <c r="E27" s="1" t="s">
        <v>123</v>
      </c>
      <c r="F27" s="1" t="s">
        <v>124</v>
      </c>
      <c r="G27" s="2" t="s">
        <v>125</v>
      </c>
      <c r="H27" s="8" t="str">
        <f aca="false">CONCATENATE("http://www.wikidata.org/entity/",G27)</f>
        <v>http://www.wikidata.org/entity/Q1519454</v>
      </c>
      <c r="I27" s="2" t="s">
        <v>126</v>
      </c>
      <c r="J27" s="8" t="str">
        <f aca="false">CONCATENATE("https://d-nb.info/gnd/",I27)</f>
        <v>https://d-nb.info/gnd/4121208-3</v>
      </c>
      <c r="K27" s="2" t="n">
        <v>300102051</v>
      </c>
      <c r="L27" s="8" t="str">
        <f aca="false">CONCATENATE("https://vocab.getty.edu/aat/",K27)</f>
        <v>https://vocab.getty.edu/aat/300102051</v>
      </c>
      <c r="M27" s="2" t="s">
        <v>127</v>
      </c>
      <c r="N27" s="8" t="str">
        <f aca="false">CONCATENATE("http://terminology.lido-schema.org/",M27)</f>
        <v>http://terminology.lido-schema.org/lido00224</v>
      </c>
    </row>
    <row r="28" customFormat="false" ht="12.8" hidden="false" customHeight="false" outlineLevel="0" collapsed="false">
      <c r="A28" s="1" t="s">
        <v>128</v>
      </c>
      <c r="B28" s="2" t="n">
        <v>14</v>
      </c>
      <c r="C28" s="1" t="s">
        <v>129</v>
      </c>
      <c r="D28" s="1" t="s">
        <v>130</v>
      </c>
      <c r="E28" s="1" t="s">
        <v>131</v>
      </c>
      <c r="F28" s="1" t="s">
        <v>132</v>
      </c>
      <c r="G28" s="2" t="s">
        <v>133</v>
      </c>
      <c r="H28" s="8" t="str">
        <f aca="false">CONCATENATE("http://www.wikidata.org/entity/",G28)</f>
        <v>http://www.wikidata.org/entity/Q118581977</v>
      </c>
    </row>
    <row r="29" customFormat="false" ht="12.8" hidden="false" customHeight="false" outlineLevel="0" collapsed="false">
      <c r="A29" s="1" t="s">
        <v>134</v>
      </c>
      <c r="B29" s="2" t="n">
        <v>15</v>
      </c>
      <c r="C29" s="1" t="s">
        <v>135</v>
      </c>
      <c r="D29" s="1" t="s">
        <v>136</v>
      </c>
      <c r="E29" s="1" t="s">
        <v>45</v>
      </c>
      <c r="F29" s="1" t="s">
        <v>137</v>
      </c>
      <c r="G29" s="2" t="s">
        <v>138</v>
      </c>
      <c r="H29" s="8" t="str">
        <f aca="false">CONCATENATE("http://www.wikidata.org/entity/",G29)</f>
        <v>http://www.wikidata.org/entity/Q3604747</v>
      </c>
      <c r="I29" s="2" t="s">
        <v>139</v>
      </c>
      <c r="J29" s="8" t="str">
        <f aca="false">CONCATENATE("https://d-nb.info/gnd/",I29)</f>
        <v>https://d-nb.info/gnd/4212536-4</v>
      </c>
      <c r="K29" s="2" t="n">
        <v>300157782</v>
      </c>
      <c r="L29" s="8" t="str">
        <f aca="false">CONCATENATE("https://vocab.getty.edu/aat/",K29)</f>
        <v>https://vocab.getty.edu/aat/300157782</v>
      </c>
      <c r="M29" s="2" t="s">
        <v>140</v>
      </c>
      <c r="N29" s="8" t="str">
        <f aca="false">CONCATENATE("http://terminology.lido-schema.org/",M29)</f>
        <v>http://terminology.lido-schema.org/lido00001</v>
      </c>
    </row>
    <row r="30" customFormat="false" ht="12.8" hidden="false" customHeight="false" outlineLevel="0" collapsed="false">
      <c r="A30" s="1" t="s">
        <v>141</v>
      </c>
      <c r="B30" s="2" t="n">
        <v>16</v>
      </c>
      <c r="C30" s="1" t="s">
        <v>142</v>
      </c>
      <c r="E30" s="1" t="s">
        <v>142</v>
      </c>
      <c r="G30" s="2" t="s">
        <v>143</v>
      </c>
      <c r="H30" s="8" t="str">
        <f aca="false">CONCATENATE("http://www.wikidata.org/entity/",G30)</f>
        <v>http://www.wikidata.org/entity/Q132241</v>
      </c>
      <c r="I30" s="2" t="s">
        <v>144</v>
      </c>
      <c r="J30" s="8" t="str">
        <f aca="false">CONCATENATE("https://d-nb.info/gnd/",I30)</f>
        <v>https://d-nb.info/gnd/4154198-4</v>
      </c>
    </row>
    <row r="31" customFormat="false" ht="12.8" hidden="false" customHeight="false" outlineLevel="0" collapsed="false">
      <c r="A31" s="1" t="s">
        <v>145</v>
      </c>
      <c r="B31" s="2" t="n">
        <v>17</v>
      </c>
      <c r="C31" s="1" t="s">
        <v>146</v>
      </c>
      <c r="E31" s="1" t="s">
        <v>147</v>
      </c>
      <c r="F31" s="1" t="s">
        <v>148</v>
      </c>
      <c r="G31" s="2" t="s">
        <v>149</v>
      </c>
      <c r="H31" s="8" t="str">
        <f aca="false">CONCATENATE("http://www.wikidata.org/entity/",G31)</f>
        <v>http://www.wikidata.org/entity/Q220505</v>
      </c>
      <c r="I31" s="2" t="s">
        <v>150</v>
      </c>
      <c r="J31" s="8" t="str">
        <f aca="false">CONCATENATE("https://d-nb.info/gnd/",I31)</f>
        <v>https://d-nb.info/gnd/4359942-4</v>
      </c>
    </row>
    <row r="32" customFormat="false" ht="12.8" hidden="false" customHeight="false" outlineLevel="0" collapsed="false">
      <c r="A32" s="1" t="s">
        <v>151</v>
      </c>
      <c r="B32" s="2" t="n">
        <v>18</v>
      </c>
      <c r="C32" s="1" t="s">
        <v>152</v>
      </c>
      <c r="D32" s="1" t="s">
        <v>153</v>
      </c>
      <c r="E32" s="1" t="s">
        <v>154</v>
      </c>
      <c r="F32" s="1" t="s">
        <v>155</v>
      </c>
      <c r="G32" s="2" t="s">
        <v>156</v>
      </c>
      <c r="H32" s="8" t="str">
        <f aca="false">CONCATENATE("http://www.wikidata.org/entity/",G32)</f>
        <v>http://www.wikidata.org/entity/Q2295790</v>
      </c>
      <c r="I32" s="2" t="s">
        <v>157</v>
      </c>
      <c r="J32" s="8" t="str">
        <f aca="false">CONCATENATE("https://d-nb.info/gnd/",I32)</f>
        <v>https://d-nb.info/gnd/4196355-6</v>
      </c>
    </row>
    <row r="33" customFormat="false" ht="12.8" hidden="false" customHeight="false" outlineLevel="0" collapsed="false">
      <c r="A33" s="1" t="s">
        <v>158</v>
      </c>
      <c r="B33" s="2" t="n">
        <v>19</v>
      </c>
      <c r="C33" s="1" t="s">
        <v>159</v>
      </c>
      <c r="E33" s="1" t="s">
        <v>160</v>
      </c>
      <c r="F33" s="1" t="s">
        <v>161</v>
      </c>
      <c r="G33" s="2" t="s">
        <v>162</v>
      </c>
      <c r="H33" s="8" t="str">
        <f aca="false">CONCATENATE("http://www.wikidata.org/entity/",G33)</f>
        <v>http://www.wikidata.org/entity/Q3503392</v>
      </c>
      <c r="I33" s="2" t="s">
        <v>163</v>
      </c>
      <c r="J33" s="8" t="str">
        <f aca="false">CONCATENATE("https://d-nb.info/gnd/",I33)</f>
        <v>https://d-nb.info/gnd/4129892-5</v>
      </c>
      <c r="K33" s="2" t="n">
        <v>300054000</v>
      </c>
      <c r="L33" s="8" t="str">
        <f aca="false">CONCATENATE("https://vocab.getty.edu/aat/",K33)</f>
        <v>https://vocab.getty.edu/aat/300054000</v>
      </c>
    </row>
    <row r="34" customFormat="false" ht="12.8" hidden="false" customHeight="false" outlineLevel="0" collapsed="false">
      <c r="A34" s="1" t="s">
        <v>164</v>
      </c>
      <c r="B34" s="2" t="n">
        <v>20</v>
      </c>
      <c r="C34" s="1" t="s">
        <v>165</v>
      </c>
      <c r="E34" s="1" t="s">
        <v>166</v>
      </c>
      <c r="F34" s="1" t="s">
        <v>167</v>
      </c>
      <c r="G34" s="2" t="s">
        <v>168</v>
      </c>
      <c r="H34" s="8" t="str">
        <f aca="false">CONCATENATE("http://www.wikidata.org/entity/",G34)</f>
        <v>http://www.wikidata.org/entity/Q40249767</v>
      </c>
      <c r="I34" s="2" t="s">
        <v>169</v>
      </c>
      <c r="J34" s="8" t="str">
        <f aca="false">CONCATENATE("https://d-nb.info/gnd/",I34)</f>
        <v>https://d-nb.info/gnd/4255674-0</v>
      </c>
    </row>
    <row r="35" customFormat="false" ht="12.8" hidden="false" customHeight="false" outlineLevel="0" collapsed="false">
      <c r="A35" s="1" t="s">
        <v>170</v>
      </c>
      <c r="B35" s="2" t="n">
        <v>21</v>
      </c>
      <c r="C35" s="1" t="s">
        <v>171</v>
      </c>
      <c r="D35" s="1" t="s">
        <v>172</v>
      </c>
      <c r="E35" s="1" t="s">
        <v>173</v>
      </c>
      <c r="F35" s="1" t="s">
        <v>174</v>
      </c>
      <c r="G35" s="2" t="s">
        <v>175</v>
      </c>
      <c r="H35" s="8" t="str">
        <f aca="false">CONCATENATE("http://www.wikidata.org/entity/",G35)</f>
        <v>http://www.wikidata.org/entity/Q11398090</v>
      </c>
      <c r="M35" s="2" t="s">
        <v>176</v>
      </c>
      <c r="N35" s="8" t="str">
        <f aca="false">CONCATENATE("http://terminology.lido-schema.org/",M35)</f>
        <v>http://terminology.lido-schema.org/lido00012</v>
      </c>
    </row>
    <row r="36" customFormat="false" ht="12.8" hidden="false" customHeight="false" outlineLevel="0" collapsed="false">
      <c r="A36" s="1" t="s">
        <v>177</v>
      </c>
      <c r="B36" s="2" t="n">
        <v>22</v>
      </c>
      <c r="C36" s="1" t="s">
        <v>178</v>
      </c>
      <c r="D36" s="1" t="s">
        <v>179</v>
      </c>
      <c r="E36" s="1" t="s">
        <v>180</v>
      </c>
      <c r="F36" s="1" t="s">
        <v>181</v>
      </c>
      <c r="G36" s="2" t="s">
        <v>182</v>
      </c>
      <c r="H36" s="8" t="str">
        <f aca="false">CONCATENATE("http://www.wikidata.org/entity/",G36)</f>
        <v>http://www.wikidata.org/entity/Q739302</v>
      </c>
      <c r="I36" s="2" t="s">
        <v>183</v>
      </c>
      <c r="J36" s="8" t="str">
        <f aca="false">CONCATENATE("https://d-nb.info/gnd/",I36)</f>
        <v>https://d-nb.info/gnd/4159653-5</v>
      </c>
      <c r="K36" s="2" t="n">
        <v>300054713</v>
      </c>
      <c r="L36" s="8" t="str">
        <f aca="false">CONCATENATE("https://vocab.getty.edu/aat/",K36)</f>
        <v>https://vocab.getty.edu/aat/300054713</v>
      </c>
      <c r="M36" s="2" t="s">
        <v>184</v>
      </c>
      <c r="N36" s="8" t="str">
        <f aca="false">CONCATENATE("http://terminology.lido-schema.org/",M36)</f>
        <v>http://terminology.lido-schema.org/lido00007</v>
      </c>
    </row>
    <row r="37" customFormat="false" ht="12.8" hidden="false" customHeight="false" outlineLevel="0" collapsed="false">
      <c r="A37" s="1" t="s">
        <v>185</v>
      </c>
      <c r="B37" s="2" t="n">
        <v>23</v>
      </c>
      <c r="C37" s="1" t="s">
        <v>186</v>
      </c>
      <c r="E37" s="1" t="s">
        <v>186</v>
      </c>
      <c r="F37" s="1" t="s">
        <v>187</v>
      </c>
      <c r="G37" s="2" t="s">
        <v>188</v>
      </c>
      <c r="H37" s="8" t="str">
        <f aca="false">CONCATENATE("http://www.wikidata.org/entity/",G37)</f>
        <v>http://www.wikidata.org/entity/Q178651</v>
      </c>
      <c r="I37" s="2" t="s">
        <v>189</v>
      </c>
      <c r="J37" s="8" t="str">
        <f aca="false">CONCATENATE("https://d-nb.info/gnd/",I37)</f>
        <v>https://d-nb.info/gnd/4027503-6</v>
      </c>
      <c r="K37" s="2" t="n">
        <v>300026392</v>
      </c>
      <c r="L37" s="8" t="str">
        <f aca="false">CONCATENATE("https://vocab.getty.edu/aat/",K37)</f>
        <v>https://vocab.getty.edu/aat/300026392</v>
      </c>
    </row>
    <row r="38" customFormat="false" ht="12.8" hidden="false" customHeight="false" outlineLevel="0" collapsed="false">
      <c r="A38" s="1" t="s">
        <v>190</v>
      </c>
      <c r="B38" s="2" t="n">
        <v>24</v>
      </c>
      <c r="C38" s="1" t="s">
        <v>191</v>
      </c>
      <c r="E38" s="1" t="s">
        <v>192</v>
      </c>
      <c r="G38" s="2" t="s">
        <v>193</v>
      </c>
      <c r="H38" s="8" t="str">
        <f aca="false">CONCATENATE("http://www.wikidata.org/entity/",G38)</f>
        <v>http://www.wikidata.org/entity/Q4228029</v>
      </c>
    </row>
    <row r="39" customFormat="false" ht="12.8" hidden="false" customHeight="false" outlineLevel="0" collapsed="false">
      <c r="A39" s="1" t="s">
        <v>194</v>
      </c>
      <c r="B39" s="2" t="n">
        <v>25</v>
      </c>
      <c r="C39" s="1" t="s">
        <v>195</v>
      </c>
      <c r="E39" s="1" t="s">
        <v>196</v>
      </c>
      <c r="F39" s="1" t="s">
        <v>197</v>
      </c>
      <c r="G39" s="2" t="s">
        <v>198</v>
      </c>
      <c r="H39" s="8" t="str">
        <f aca="false">CONCATENATE("http://www.wikidata.org/entity/",G39)</f>
        <v>http://www.wikidata.org/entity/Q182832</v>
      </c>
      <c r="I39" s="2" t="s">
        <v>199</v>
      </c>
      <c r="J39" s="8" t="str">
        <f aca="false">CONCATENATE("https://d-nb.info/gnd/",I39)</f>
        <v>https://d-nb.info/gnd/4317474-7</v>
      </c>
    </row>
    <row r="40" customFormat="false" ht="12.8" hidden="false" customHeight="false" outlineLevel="0" collapsed="false">
      <c r="A40" s="1" t="s">
        <v>200</v>
      </c>
      <c r="B40" s="2" t="n">
        <v>26</v>
      </c>
      <c r="C40" s="1" t="s">
        <v>201</v>
      </c>
      <c r="D40" s="1" t="s">
        <v>202</v>
      </c>
      <c r="E40" s="1" t="s">
        <v>203</v>
      </c>
      <c r="G40" s="2" t="s">
        <v>204</v>
      </c>
      <c r="H40" s="8" t="str">
        <f aca="false">CONCATENATE("http://www.wikidata.org/entity/",G40)</f>
        <v>http://www.wikidata.org/entity/Q107736918</v>
      </c>
      <c r="I40" s="2" t="s">
        <v>205</v>
      </c>
      <c r="J40" s="8" t="str">
        <f aca="false">CONCATENATE("https://d-nb.info/gnd/",I40)</f>
        <v>https://d-nb.info/gnd/4432417-0</v>
      </c>
    </row>
    <row r="41" customFormat="false" ht="12.8" hidden="false" customHeight="false" outlineLevel="0" collapsed="false">
      <c r="A41" s="1" t="s">
        <v>206</v>
      </c>
      <c r="B41" s="2" t="n">
        <v>27</v>
      </c>
      <c r="C41" s="1" t="s">
        <v>207</v>
      </c>
      <c r="E41" s="1" t="s">
        <v>208</v>
      </c>
      <c r="G41" s="2" t="s">
        <v>209</v>
      </c>
      <c r="H41" s="8" t="str">
        <f aca="false">CONCATENATE("http://www.wikidata.org/entity/",G41)</f>
        <v>http://www.wikidata.org/entity/Q2537465</v>
      </c>
      <c r="I41" s="2" t="n">
        <v>1033761672</v>
      </c>
      <c r="J41" s="8" t="str">
        <f aca="false">CONCATENATE("https://d-nb.info/gnd/",I41)</f>
        <v>https://d-nb.info/gnd/1033761672</v>
      </c>
    </row>
    <row r="42" customFormat="false" ht="12.8" hidden="false" customHeight="false" outlineLevel="0" collapsed="false">
      <c r="A42" s="1" t="s">
        <v>210</v>
      </c>
      <c r="B42" s="2" t="n">
        <v>28</v>
      </c>
      <c r="C42" s="1" t="s">
        <v>211</v>
      </c>
      <c r="E42" s="1" t="s">
        <v>212</v>
      </c>
      <c r="F42" s="1" t="s">
        <v>213</v>
      </c>
      <c r="G42" s="2" t="s">
        <v>214</v>
      </c>
      <c r="H42" s="8" t="str">
        <f aca="false">CONCATENATE("http://www.wikidata.org/entity/",G42)</f>
        <v>http://www.wikidata.org/entity/Q11895763</v>
      </c>
      <c r="I42" s="2" t="s">
        <v>215</v>
      </c>
      <c r="J42" s="8" t="str">
        <f aca="false">CONCATENATE("https://d-nb.info/gnd/",I42)</f>
        <v>https://d-nb.info/gnd/4133320-2</v>
      </c>
    </row>
    <row r="43" customFormat="false" ht="12.8" hidden="false" customHeight="false" outlineLevel="0" collapsed="false">
      <c r="A43" s="1" t="s">
        <v>216</v>
      </c>
      <c r="B43" s="2" t="n">
        <v>29</v>
      </c>
      <c r="C43" s="1" t="s">
        <v>217</v>
      </c>
      <c r="E43" s="1" t="s">
        <v>218</v>
      </c>
      <c r="G43" s="2" t="s">
        <v>219</v>
      </c>
      <c r="H43" s="8" t="str">
        <f aca="false">CONCATENATE("http://www.wikidata.org/entity/",G43)</f>
        <v>http://www.wikidata.org/entity/Q868557</v>
      </c>
      <c r="I43" s="2" t="s">
        <v>220</v>
      </c>
      <c r="J43" s="8" t="str">
        <f aca="false">CONCATENATE("https://d-nb.info/gnd/",I43)</f>
        <v>https://d-nb.info/gnd/4170821-0</v>
      </c>
    </row>
    <row r="44" customFormat="false" ht="12.8" hidden="false" customHeight="false" outlineLevel="0" collapsed="false">
      <c r="A44" s="1" t="s">
        <v>221</v>
      </c>
      <c r="B44" s="2" t="n">
        <v>30</v>
      </c>
      <c r="C44" s="1" t="s">
        <v>222</v>
      </c>
      <c r="E44" s="1" t="s">
        <v>222</v>
      </c>
      <c r="F44" s="1" t="s">
        <v>223</v>
      </c>
      <c r="G44" s="2" t="s">
        <v>224</v>
      </c>
      <c r="H44" s="8" t="str">
        <f aca="false">CONCATENATE("http://www.wikidata.org/entity/",G44)</f>
        <v>http://www.wikidata.org/entity/Q213156</v>
      </c>
      <c r="I44" s="2" t="s">
        <v>225</v>
      </c>
      <c r="J44" s="8" t="str">
        <f aca="false">CONCATENATE("https://d-nb.info/gnd/",I44)</f>
        <v>https://d-nb.info/gnd/4173750-7</v>
      </c>
      <c r="K44" s="2" t="n">
        <v>300121445</v>
      </c>
      <c r="L44" s="8" t="str">
        <f aca="false">CONCATENATE("https://vocab.getty.edu/aat/",K44)</f>
        <v>https://vocab.getty.edu/aat/300121445</v>
      </c>
      <c r="M44" s="2" t="s">
        <v>63</v>
      </c>
      <c r="N44" s="8" t="str">
        <f aca="false">CONCATENATE("http://terminology.lido-schema.org/",M44)</f>
        <v>http://terminology.lido-schema.org/lido00030</v>
      </c>
    </row>
    <row r="45" customFormat="false" ht="12.8" hidden="false" customHeight="false" outlineLevel="0" collapsed="false">
      <c r="A45" s="1" t="s">
        <v>226</v>
      </c>
      <c r="B45" s="2" t="n">
        <v>31</v>
      </c>
      <c r="C45" s="1" t="s">
        <v>227</v>
      </c>
      <c r="E45" s="1" t="s">
        <v>228</v>
      </c>
      <c r="G45" s="2" t="s">
        <v>229</v>
      </c>
      <c r="H45" s="8" t="str">
        <f aca="false">CONCATENATE("http://www.wikidata.org/entity/",G45)</f>
        <v>http://www.wikidata.org/entity/Q309100</v>
      </c>
      <c r="I45" s="2" t="s">
        <v>230</v>
      </c>
      <c r="J45" s="8" t="str">
        <f aca="false">CONCATENATE("https://d-nb.info/gnd/",I45)</f>
        <v>https://d-nb.info/gnd/4046235-3 </v>
      </c>
      <c r="K45" s="2" t="n">
        <v>300054425</v>
      </c>
      <c r="L45" s="8" t="str">
        <f aca="false">CONCATENATE("https://vocab.getty.edu/aat/",K45)</f>
        <v>https://vocab.getty.edu/aat/300054425</v>
      </c>
      <c r="M45" s="2" t="s">
        <v>231</v>
      </c>
      <c r="N45" s="8" t="str">
        <f aca="false">CONCATENATE("http://terminology.lido-schema.org/",M45)</f>
        <v>http://terminology.lido-schema.org/lido00032</v>
      </c>
    </row>
    <row r="46" customFormat="false" ht="12.8" hidden="false" customHeight="false" outlineLevel="0" collapsed="false">
      <c r="A46" s="1" t="s">
        <v>232</v>
      </c>
      <c r="B46" s="2" t="n">
        <v>32</v>
      </c>
      <c r="C46" s="1" t="s">
        <v>233</v>
      </c>
      <c r="E46" s="1" t="s">
        <v>234</v>
      </c>
      <c r="F46" s="1" t="s">
        <v>235</v>
      </c>
      <c r="G46" s="2" t="s">
        <v>236</v>
      </c>
      <c r="H46" s="8" t="str">
        <f aca="false">CONCATENATE("http://www.wikidata.org/entity/",G46)</f>
        <v>http://www.wikidata.org/entity/Q2100278</v>
      </c>
      <c r="I46" s="2" t="s">
        <v>237</v>
      </c>
      <c r="J46" s="8" t="str">
        <f aca="false">CONCATENATE("https://d-nb.info/gnd/",I46)</f>
        <v>https://d-nb.info/gnd/4614247-2</v>
      </c>
    </row>
    <row r="47" customFormat="false" ht="12.8" hidden="false" customHeight="false" outlineLevel="0" collapsed="false">
      <c r="A47" s="1" t="s">
        <v>238</v>
      </c>
      <c r="B47" s="2" t="n">
        <v>33</v>
      </c>
      <c r="C47" s="1" t="s">
        <v>239</v>
      </c>
      <c r="E47" s="1" t="s">
        <v>240</v>
      </c>
      <c r="G47" s="2" t="s">
        <v>241</v>
      </c>
      <c r="H47" s="8" t="str">
        <f aca="false">CONCATENATE("http://www.wikidata.org/entity/",G47)</f>
        <v>http://www.wikidata.org/entity/Q4504495</v>
      </c>
    </row>
    <row r="48" customFormat="false" ht="12.8" hidden="false" customHeight="false" outlineLevel="0" collapsed="false">
      <c r="A48" s="1" t="s">
        <v>242</v>
      </c>
      <c r="B48" s="2" t="n">
        <v>34</v>
      </c>
      <c r="C48" s="1" t="s">
        <v>243</v>
      </c>
      <c r="E48" s="1" t="s">
        <v>244</v>
      </c>
      <c r="F48" s="1" t="s">
        <v>245</v>
      </c>
      <c r="G48" s="2" t="s">
        <v>246</v>
      </c>
      <c r="H48" s="8" t="str">
        <f aca="false">CONCATENATE("http://www.wikidata.org/entity/",G48)</f>
        <v>http://www.wikidata.org/entity/Q204854</v>
      </c>
      <c r="I48" s="2" t="s">
        <v>247</v>
      </c>
      <c r="J48" s="8" t="str">
        <f aca="false">CONCATENATE("https://d-nb.info/gnd/",I48)</f>
        <v>https://d-nb.info/gnd/4519367-8</v>
      </c>
      <c r="K48" s="2" t="n">
        <v>300069101</v>
      </c>
      <c r="L48" s="8" t="str">
        <f aca="false">CONCATENATE("https://vocab.getty.edu/aat/",K48)</f>
        <v>https://vocab.getty.edu/aat/300069101</v>
      </c>
    </row>
    <row r="49" customFormat="false" ht="12.8" hidden="false" customHeight="false" outlineLevel="0" collapsed="false">
      <c r="A49" s="1" t="s">
        <v>248</v>
      </c>
      <c r="B49" s="2" t="n">
        <v>35</v>
      </c>
      <c r="C49" s="1" t="s">
        <v>249</v>
      </c>
      <c r="E49" s="1" t="s">
        <v>250</v>
      </c>
      <c r="G49" s="2" t="s">
        <v>251</v>
      </c>
      <c r="H49" s="8" t="str">
        <f aca="false">CONCATENATE("http://www.wikidata.org/entity/",G49)</f>
        <v>http://www.wikidata.org/entity/Q1751775</v>
      </c>
      <c r="I49" s="2" t="s">
        <v>252</v>
      </c>
      <c r="J49" s="8" t="str">
        <f aca="false">CONCATENATE("https://d-nb.info/gnd/",I49)</f>
        <v>https://d-nb.info/gnd/7660069-5</v>
      </c>
    </row>
    <row r="50" customFormat="false" ht="12.8" hidden="false" customHeight="false" outlineLevel="0" collapsed="false">
      <c r="A50" s="1" t="s">
        <v>253</v>
      </c>
      <c r="B50" s="2" t="n">
        <v>36</v>
      </c>
      <c r="C50" s="1" t="s">
        <v>254</v>
      </c>
      <c r="D50" s="1" t="s">
        <v>255</v>
      </c>
      <c r="E50" s="1" t="s">
        <v>256</v>
      </c>
      <c r="F50" s="1" t="s">
        <v>257</v>
      </c>
      <c r="G50" s="2" t="s">
        <v>258</v>
      </c>
      <c r="H50" s="8" t="str">
        <f aca="false">CONCATENATE("http://www.wikidata.org/entity/",G50)</f>
        <v>http://www.wikidata.org/entity/Q861911</v>
      </c>
      <c r="I50" s="2" t="s">
        <v>259</v>
      </c>
      <c r="J50" s="8" t="str">
        <f aca="false">CONCATENATE("https://d-nb.info/gnd/",I50)</f>
        <v>https://d-nb.info/gnd/4048882-2</v>
      </c>
      <c r="K50" s="2" t="n">
        <v>300417595</v>
      </c>
      <c r="L50" s="8" t="str">
        <f aca="false">CONCATENATE("https://vocab.getty.edu/aat/",K50)</f>
        <v>https://vocab.getty.edu/aat/300417595</v>
      </c>
    </row>
    <row r="51" customFormat="false" ht="12.8" hidden="false" customHeight="false" outlineLevel="0" collapsed="false">
      <c r="A51" s="1" t="s">
        <v>260</v>
      </c>
      <c r="B51" s="2" t="n">
        <v>37</v>
      </c>
      <c r="C51" s="1" t="s">
        <v>261</v>
      </c>
      <c r="E51" s="1" t="s">
        <v>262</v>
      </c>
      <c r="F51" s="1" t="s">
        <v>263</v>
      </c>
      <c r="G51" s="2" t="s">
        <v>264</v>
      </c>
      <c r="H51" s="8" t="str">
        <f aca="false">CONCATENATE("http://www.wikidata.org/entity/",G51)</f>
        <v>http://www.wikidata.org/entity/Q55336815</v>
      </c>
      <c r="K51" s="2" t="n">
        <v>300311622</v>
      </c>
      <c r="L51" s="8" t="str">
        <f aca="false">CONCATENATE("https://vocab.getty.edu/aat/",K51)</f>
        <v>https://vocab.getty.edu/aat/300311622</v>
      </c>
    </row>
    <row r="52" customFormat="false" ht="12.8" hidden="false" customHeight="false" outlineLevel="0" collapsed="false">
      <c r="A52" s="1" t="s">
        <v>265</v>
      </c>
      <c r="B52" s="2" t="n">
        <v>38</v>
      </c>
      <c r="C52" s="1" t="s">
        <v>266</v>
      </c>
      <c r="E52" s="1" t="s">
        <v>267</v>
      </c>
      <c r="F52" s="1" t="s">
        <v>268</v>
      </c>
      <c r="G52" s="2" t="s">
        <v>269</v>
      </c>
      <c r="H52" s="8" t="str">
        <f aca="false">CONCATENATE("http://www.wikidata.org/entity/",G52)</f>
        <v>http://www.wikidata.org/entity/Q237893</v>
      </c>
      <c r="I52" s="2" t="s">
        <v>270</v>
      </c>
      <c r="J52" s="8" t="str">
        <f aca="false">CONCATENATE("https://d-nb.info/gnd/",I52)</f>
        <v>https://d-nb.info/gnd/4281773-0</v>
      </c>
    </row>
    <row r="53" customFormat="false" ht="12.8" hidden="false" customHeight="false" outlineLevel="0" collapsed="false">
      <c r="A53" s="1" t="s">
        <v>271</v>
      </c>
      <c r="B53" s="2" t="n">
        <v>39</v>
      </c>
      <c r="C53" s="1" t="s">
        <v>272</v>
      </c>
      <c r="E53" s="1" t="s">
        <v>273</v>
      </c>
      <c r="F53" s="1" t="s">
        <v>274</v>
      </c>
      <c r="G53" s="2" t="s">
        <v>275</v>
      </c>
      <c r="H53" s="8" t="str">
        <f aca="false">CONCATENATE("http://www.wikidata.org/entity/",G53)</f>
        <v>http://www.wikidata.org/entity/Q1054021</v>
      </c>
      <c r="I53" s="2" t="s">
        <v>276</v>
      </c>
      <c r="J53" s="8" t="str">
        <f aca="false">CONCATENATE("https://d-nb.info/gnd/",I53)</f>
        <v>https://d-nb.info/gnd/4332831-3</v>
      </c>
    </row>
    <row r="54" customFormat="false" ht="12.8" hidden="false" customHeight="false" outlineLevel="0" collapsed="false">
      <c r="A54" s="1" t="s">
        <v>277</v>
      </c>
      <c r="B54" s="2" t="n">
        <v>40</v>
      </c>
      <c r="C54" s="1" t="s">
        <v>278</v>
      </c>
      <c r="E54" s="1" t="s">
        <v>279</v>
      </c>
      <c r="F54" s="1" t="s">
        <v>280</v>
      </c>
      <c r="G54" s="2" t="s">
        <v>281</v>
      </c>
      <c r="H54" s="8" t="str">
        <f aca="false">CONCATENATE("http://www.wikidata.org/entity/",G54)</f>
        <v>http://www.wikidata.org/entity/Q647882</v>
      </c>
      <c r="I54" s="2" t="s">
        <v>282</v>
      </c>
      <c r="J54" s="8" t="str">
        <f aca="false">CONCATENATE("https://d-nb.info/gnd/",I54)</f>
        <v>https://d-nb.info/gnd/4331584-7</v>
      </c>
    </row>
    <row r="55" customFormat="false" ht="12.8" hidden="false" customHeight="false" outlineLevel="0" collapsed="false">
      <c r="A55" s="1" t="s">
        <v>283</v>
      </c>
      <c r="B55" s="2" t="n">
        <v>41</v>
      </c>
      <c r="C55" s="1" t="s">
        <v>284</v>
      </c>
      <c r="D55" s="1" t="s">
        <v>285</v>
      </c>
      <c r="E55" s="1" t="s">
        <v>286</v>
      </c>
      <c r="F55" s="1" t="s">
        <v>287</v>
      </c>
      <c r="G55" s="2" t="s">
        <v>288</v>
      </c>
      <c r="H55" s="8" t="str">
        <f aca="false">CONCATENATE("http://www.wikidata.org/entity/",G55)</f>
        <v>http://www.wikidata.org/entity/Q2020153</v>
      </c>
      <c r="I55" s="2" t="s">
        <v>289</v>
      </c>
      <c r="J55" s="8" t="str">
        <f aca="false">CONCATENATE("https://d-nb.info/gnd/",I55)</f>
        <v>https://d-nb.info/gnd/4032055-8</v>
      </c>
      <c r="K55" s="2" t="n">
        <v>300054789</v>
      </c>
      <c r="L55" s="8" t="str">
        <f aca="false">CONCATENATE("https://vocab.getty.edu/aat/",K55)</f>
        <v>https://vocab.getty.edu/aat/300054789</v>
      </c>
    </row>
    <row r="56" customFormat="false" ht="12.8" hidden="false" customHeight="false" outlineLevel="0" collapsed="false">
      <c r="A56" s="1" t="s">
        <v>290</v>
      </c>
      <c r="B56" s="2" t="n">
        <v>42</v>
      </c>
      <c r="C56" s="1" t="s">
        <v>291</v>
      </c>
      <c r="D56" s="1" t="s">
        <v>292</v>
      </c>
      <c r="E56" s="1" t="s">
        <v>293</v>
      </c>
      <c r="G56" s="2" t="s">
        <v>294</v>
      </c>
      <c r="H56" s="8" t="str">
        <f aca="false">CONCATENATE("http://www.wikidata.org/entity/",G56)</f>
        <v>http://www.wikidata.org/entity/Q10692570</v>
      </c>
    </row>
    <row r="57" customFormat="false" ht="12.8" hidden="false" customHeight="false" outlineLevel="0" collapsed="false">
      <c r="A57" s="1" t="s">
        <v>295</v>
      </c>
      <c r="B57" s="2" t="n">
        <v>43</v>
      </c>
      <c r="C57" s="1" t="s">
        <v>296</v>
      </c>
      <c r="D57" s="1" t="s">
        <v>297</v>
      </c>
      <c r="E57" s="1" t="s">
        <v>298</v>
      </c>
      <c r="F57" s="1" t="s">
        <v>299</v>
      </c>
      <c r="G57" s="2" t="s">
        <v>300</v>
      </c>
      <c r="H57" s="8" t="str">
        <f aca="false">CONCATENATE("http://www.wikidata.org/entity/",G57)</f>
        <v>http://www.wikidata.org/entity/Q5057302</v>
      </c>
      <c r="I57" s="2" t="s">
        <v>301</v>
      </c>
      <c r="J57" s="8" t="str">
        <f aca="false">CONCATENATE("https://d-nb.info/gnd/",I57)</f>
        <v>https://d-nb.info/gnd/4052020-1</v>
      </c>
      <c r="K57" s="2" t="n">
        <v>300255735</v>
      </c>
      <c r="L57" s="8" t="str">
        <f aca="false">CONCATENATE("https://vocab.getty.edu/aat/",K57)</f>
        <v>https://vocab.getty.edu/aat/300255735</v>
      </c>
    </row>
    <row r="58" customFormat="false" ht="12.8" hidden="false" customHeight="false" outlineLevel="0" collapsed="false">
      <c r="A58" s="1" t="s">
        <v>302</v>
      </c>
      <c r="B58" s="2" t="n">
        <v>44</v>
      </c>
      <c r="C58" s="1" t="s">
        <v>303</v>
      </c>
      <c r="E58" s="1" t="s">
        <v>304</v>
      </c>
      <c r="F58" s="1" t="s">
        <v>305</v>
      </c>
      <c r="G58" s="2" t="s">
        <v>306</v>
      </c>
      <c r="H58" s="8" t="str">
        <f aca="false">CONCATENATE("http://www.wikidata.org/entity/",G58)</f>
        <v>http://www.wikidata.org/entity/Q10357784</v>
      </c>
      <c r="I58" s="2" t="s">
        <v>307</v>
      </c>
      <c r="J58" s="8" t="str">
        <f aca="false">CONCATENATE("https://d-nb.info/gnd/",I58)</f>
        <v>https://d-nb.info/gnd/4452586-2</v>
      </c>
      <c r="M58" s="2" t="s">
        <v>308</v>
      </c>
      <c r="N58" s="8" t="str">
        <f aca="false">CONCATENATE("http://terminology.lido-schema.org/",M58)</f>
        <v>http://terminology.lido-schema.org/lido00029</v>
      </c>
    </row>
    <row r="59" customFormat="false" ht="12.8" hidden="false" customHeight="false" outlineLevel="0" collapsed="false">
      <c r="A59" s="1" t="s">
        <v>309</v>
      </c>
      <c r="B59" s="2" t="n">
        <v>45</v>
      </c>
      <c r="C59" s="1" t="s">
        <v>310</v>
      </c>
      <c r="E59" s="1" t="s">
        <v>311</v>
      </c>
      <c r="G59" s="2" t="s">
        <v>312</v>
      </c>
      <c r="H59" s="8" t="str">
        <f aca="false">CONCATENATE("http://www.wikidata.org/entity/",G59)</f>
        <v>http://www.wikidata.org/entity/Q2500107</v>
      </c>
      <c r="I59" s="2" t="s">
        <v>313</v>
      </c>
      <c r="J59" s="8" t="str">
        <f aca="false">CONCATENATE("https://d-nb.info/gnd/",I59)</f>
        <v>https://d-nb.info/gnd/4236166-7</v>
      </c>
    </row>
    <row r="60" customFormat="false" ht="12.8" hidden="false" customHeight="false" outlineLevel="0" collapsed="false">
      <c r="A60" s="1" t="s">
        <v>314</v>
      </c>
      <c r="B60" s="2" t="n">
        <v>46</v>
      </c>
      <c r="C60" s="1" t="s">
        <v>315</v>
      </c>
      <c r="D60" s="1" t="s">
        <v>316</v>
      </c>
      <c r="E60" s="1" t="s">
        <v>317</v>
      </c>
      <c r="F60" s="1" t="s">
        <v>318</v>
      </c>
      <c r="G60" s="2" t="s">
        <v>319</v>
      </c>
      <c r="H60" s="8" t="str">
        <f aca="false">CONCATENATE("http://www.wikidata.org/entity/",G60)</f>
        <v>http://www.wikidata.org/entity/Q118581694</v>
      </c>
    </row>
    <row r="61" customFormat="false" ht="12.8" hidden="false" customHeight="false" outlineLevel="0" collapsed="false">
      <c r="A61" s="1" t="s">
        <v>320</v>
      </c>
      <c r="B61" s="2" t="n">
        <v>47</v>
      </c>
      <c r="C61" s="1" t="s">
        <v>321</v>
      </c>
      <c r="D61" s="1" t="s">
        <v>322</v>
      </c>
      <c r="E61" s="1" t="s">
        <v>323</v>
      </c>
      <c r="F61" s="1" t="s">
        <v>324</v>
      </c>
      <c r="G61" s="2" t="s">
        <v>325</v>
      </c>
      <c r="H61" s="8" t="str">
        <f aca="false">CONCATENATE("http://www.wikidata.org/entity/",G61)</f>
        <v>http://www.wikidata.org/entity/Q3972943</v>
      </c>
      <c r="I61" s="2" t="s">
        <v>326</v>
      </c>
      <c r="J61" s="8" t="str">
        <f aca="false">CONCATENATE("https://d-nb.info/gnd/",I61)</f>
        <v>https://d-nb.info/gnd/4187925-9</v>
      </c>
      <c r="K61" s="2" t="n">
        <v>300054686</v>
      </c>
      <c r="L61" s="8" t="str">
        <f aca="false">CONCATENATE("https://vocab.getty.edu/aat/",K61)</f>
        <v>https://vocab.getty.edu/aat/300054686</v>
      </c>
      <c r="M61" s="2" t="s">
        <v>327</v>
      </c>
      <c r="N61" s="8" t="str">
        <f aca="false">CONCATENATE("http://terminology.lido-schema.org/",M61)</f>
        <v>http://terminology.lido-schema.org/lido00228</v>
      </c>
    </row>
    <row r="62" customFormat="false" ht="12.8" hidden="false" customHeight="false" outlineLevel="0" collapsed="false">
      <c r="A62" s="1" t="s">
        <v>328</v>
      </c>
      <c r="B62" s="2" t="n">
        <v>48</v>
      </c>
      <c r="C62" s="1" t="s">
        <v>329</v>
      </c>
      <c r="E62" s="1" t="s">
        <v>330</v>
      </c>
      <c r="F62" s="1" t="s">
        <v>331</v>
      </c>
      <c r="G62" s="2" t="s">
        <v>332</v>
      </c>
      <c r="H62" s="8" t="str">
        <f aca="false">CONCATENATE("http://www.wikidata.org/entity/",G62)</f>
        <v>http://www.wikidata.org/entity/Q39809</v>
      </c>
      <c r="I62" s="2" t="s">
        <v>333</v>
      </c>
      <c r="J62" s="8" t="str">
        <f aca="false">CONCATENATE("https://d-nb.info/gnd/",I62)</f>
        <v>https://d-nb.info/gnd/4127117-8</v>
      </c>
      <c r="K62" s="2" t="n">
        <v>300054673</v>
      </c>
      <c r="L62" s="8" t="str">
        <f aca="false">CONCATENATE("https://vocab.getty.edu/aat/",K62)</f>
        <v>https://vocab.getty.edu/aat/300054673</v>
      </c>
      <c r="M62" s="2" t="s">
        <v>334</v>
      </c>
      <c r="N62" s="8" t="str">
        <f aca="false">CONCATENATE("http://terminology.lido-schema.org/",M62)</f>
        <v>http://terminology.lido-schema.org/lido00401</v>
      </c>
    </row>
    <row r="63" customFormat="false" ht="12.8" hidden="false" customHeight="false" outlineLevel="0" collapsed="false">
      <c r="A63" s="1" t="s">
        <v>335</v>
      </c>
      <c r="B63" s="2" t="n">
        <v>49</v>
      </c>
      <c r="C63" s="1" t="s">
        <v>336</v>
      </c>
      <c r="D63" s="1" t="s">
        <v>337</v>
      </c>
      <c r="E63" s="1" t="s">
        <v>338</v>
      </c>
      <c r="F63" s="1" t="s">
        <v>339</v>
      </c>
      <c r="G63" s="2" t="s">
        <v>340</v>
      </c>
      <c r="H63" s="8" t="str">
        <f aca="false">CONCATENATE("http://www.wikidata.org/entity/",G63)</f>
        <v>http://www.wikidata.org/entity/Q603773</v>
      </c>
      <c r="I63" s="2" t="s">
        <v>341</v>
      </c>
      <c r="J63" s="8" t="str">
        <f aca="false">CONCATENATE("https://d-nb.info/gnd/",I63)</f>
        <v>https://d-nb.info/gnd/4117405-7</v>
      </c>
      <c r="K63" s="2" t="n">
        <v>300026673</v>
      </c>
      <c r="L63" s="8" t="str">
        <f aca="false">CONCATENATE("https://vocab.getty.edu/aat/",K63)</f>
        <v>https://vocab.getty.edu/aat/300026673</v>
      </c>
    </row>
    <row r="64" customFormat="false" ht="12.8" hidden="false" customHeight="false" outlineLevel="0" collapsed="false">
      <c r="A64" s="1" t="s">
        <v>342</v>
      </c>
      <c r="B64" s="2" t="n">
        <v>50</v>
      </c>
      <c r="C64" s="1" t="s">
        <v>343</v>
      </c>
      <c r="E64" s="1" t="s">
        <v>344</v>
      </c>
      <c r="F64" s="1" t="s">
        <v>345</v>
      </c>
      <c r="G64" s="2" t="s">
        <v>346</v>
      </c>
      <c r="H64" s="8" t="str">
        <f aca="false">CONCATENATE("http://www.wikidata.org/entity/",G64)</f>
        <v>http://www.wikidata.org/entity/Q604733</v>
      </c>
      <c r="I64" s="2" t="s">
        <v>347</v>
      </c>
      <c r="J64" s="8" t="str">
        <f aca="false">CONCATENATE("https://d-nb.info/gnd/",I64)</f>
        <v>https://d-nb.info/gnd/4064035-8</v>
      </c>
    </row>
    <row r="65" customFormat="false" ht="12.8" hidden="false" customHeight="false" outlineLevel="0" collapsed="false">
      <c r="A65" s="1" t="s">
        <v>348</v>
      </c>
      <c r="B65" s="2" t="n">
        <v>51</v>
      </c>
      <c r="C65" s="1" t="s">
        <v>349</v>
      </c>
      <c r="E65" s="1" t="s">
        <v>349</v>
      </c>
      <c r="G65" s="2" t="s">
        <v>350</v>
      </c>
      <c r="H65" s="8" t="str">
        <f aca="false">CONCATENATE("http://www.wikidata.org/entity/",G65)</f>
        <v>http://www.wikidata.org/entity/Q27556165</v>
      </c>
    </row>
    <row r="66" customFormat="false" ht="12.8" hidden="false" customHeight="false" outlineLevel="0" collapsed="false">
      <c r="A66" s="1" t="s">
        <v>351</v>
      </c>
      <c r="B66" s="2" t="n">
        <v>52</v>
      </c>
      <c r="C66" s="1" t="s">
        <v>352</v>
      </c>
      <c r="E66" s="1" t="s">
        <v>353</v>
      </c>
      <c r="F66" s="1" t="s">
        <v>354</v>
      </c>
      <c r="G66" s="2" t="s">
        <v>355</v>
      </c>
      <c r="H66" s="8" t="str">
        <f aca="false">CONCATENATE("http://www.wikidata.org/entity/",G66)</f>
        <v>http://www.wikidata.org/entity/Q17781833</v>
      </c>
      <c r="I66" s="2" t="s">
        <v>356</v>
      </c>
      <c r="J66" s="8" t="str">
        <f aca="false">CONCATENATE("https://d-nb.info/gnd/",I66)</f>
        <v>https://d-nb.info/gnd/4222882-7</v>
      </c>
      <c r="K66" s="2" t="n">
        <v>300053087</v>
      </c>
      <c r="L66" s="8" t="str">
        <f aca="false">CONCATENATE("https://vocab.getty.edu/aat/",K66)</f>
        <v>https://vocab.getty.edu/aat/300053087</v>
      </c>
      <c r="M66" s="2" t="s">
        <v>357</v>
      </c>
      <c r="N66" s="8" t="str">
        <f aca="false">CONCATENATE("http://terminology.lido-schema.org/",M66)</f>
        <v>http://terminology.lido-schema.org/lido00026</v>
      </c>
    </row>
    <row r="67" customFormat="false" ht="12.8" hidden="false" customHeight="false" outlineLevel="0" collapsed="false">
      <c r="A67" s="1" t="s">
        <v>358</v>
      </c>
      <c r="B67" s="2" t="n">
        <v>53</v>
      </c>
      <c r="C67" s="1" t="s">
        <v>359</v>
      </c>
      <c r="D67" s="1" t="s">
        <v>360</v>
      </c>
      <c r="E67" s="1" t="s">
        <v>359</v>
      </c>
      <c r="F67" s="1" t="s">
        <v>360</v>
      </c>
      <c r="G67" s="2" t="s">
        <v>361</v>
      </c>
      <c r="H67" s="8" t="str">
        <f aca="false">CONCATENATE("http://www.wikidata.org/entity/",G67)</f>
        <v>http://www.wikidata.org/entity/Q421031</v>
      </c>
    </row>
    <row r="68" customFormat="false" ht="12.8" hidden="false" customHeight="false" outlineLevel="0" collapsed="false">
      <c r="A68" s="1" t="s">
        <v>362</v>
      </c>
      <c r="B68" s="2" t="n">
        <v>54</v>
      </c>
      <c r="C68" s="1" t="s">
        <v>363</v>
      </c>
      <c r="E68" s="1" t="s">
        <v>364</v>
      </c>
      <c r="F68" s="1" t="s">
        <v>365</v>
      </c>
      <c r="G68" s="2" t="s">
        <v>366</v>
      </c>
      <c r="H68" s="8" t="str">
        <f aca="false">CONCATENATE("http://www.wikidata.org/entity/",G68)</f>
        <v>http://www.wikidata.org/entity/Q788790</v>
      </c>
      <c r="I68" s="2" t="s">
        <v>367</v>
      </c>
      <c r="J68" s="8" t="str">
        <f aca="false">CONCATENATE("https://d-nb.info/gnd/",I68)</f>
        <v>https://d-nb.info/gnd/4012656-0</v>
      </c>
      <c r="K68" s="2" t="n">
        <v>300379366</v>
      </c>
      <c r="L68" s="8" t="str">
        <f aca="false">CONCATENATE("https://vocab.getty.edu/aat/",K68)</f>
        <v>https://vocab.getty.edu/aat/300379366</v>
      </c>
    </row>
    <row r="69" customFormat="false" ht="12.8" hidden="false" customHeight="false" outlineLevel="0" collapsed="false">
      <c r="A69" s="1" t="s">
        <v>368</v>
      </c>
      <c r="B69" s="2" t="n">
        <v>55</v>
      </c>
      <c r="C69" s="1" t="s">
        <v>369</v>
      </c>
      <c r="D69" s="1" t="s">
        <v>370</v>
      </c>
      <c r="E69" s="1" t="s">
        <v>371</v>
      </c>
      <c r="F69" s="1" t="s">
        <v>372</v>
      </c>
      <c r="G69" s="2" t="s">
        <v>373</v>
      </c>
      <c r="H69" s="8" t="str">
        <f aca="false">CONCATENATE("http://www.wikidata.org/entity/",G69)</f>
        <v>http://www.wikidata.org/entity/Q1555508</v>
      </c>
      <c r="I69" s="2" t="s">
        <v>374</v>
      </c>
      <c r="J69" s="8" t="str">
        <f aca="false">CONCATENATE("https://d-nb.info/gnd/",I69)</f>
        <v>https://d-nb.info/gnd/4160384-9</v>
      </c>
      <c r="K69" s="2" t="n">
        <v>300387763</v>
      </c>
      <c r="L69" s="8" t="str">
        <f aca="false">CONCATENATE("https://vocab.getty.edu/aat/",K69)</f>
        <v>https://vocab.getty.edu/aat/300387763</v>
      </c>
    </row>
    <row r="70" customFormat="false" ht="12.8" hidden="false" customHeight="false" outlineLevel="0" collapsed="false">
      <c r="A70" s="1" t="s">
        <v>375</v>
      </c>
      <c r="B70" s="2" t="n">
        <v>56</v>
      </c>
      <c r="C70" s="1" t="s">
        <v>376</v>
      </c>
      <c r="D70" s="1" t="s">
        <v>377</v>
      </c>
      <c r="E70" s="1" t="s">
        <v>378</v>
      </c>
      <c r="F70" s="1" t="s">
        <v>379</v>
      </c>
      <c r="G70" s="2" t="s">
        <v>380</v>
      </c>
      <c r="H70" s="8" t="str">
        <f aca="false">CONCATENATE("http://www.wikidata.org/entity/",G70)</f>
        <v>http://www.wikidata.org/entity/Q15416</v>
      </c>
      <c r="I70" s="2" t="s">
        <v>381</v>
      </c>
      <c r="J70" s="8" t="str">
        <f aca="false">CONCATENATE("https://d-nb.info/gnd/",I70)</f>
        <v>https://d-nb.info/gnd/4016842-6</v>
      </c>
      <c r="K70" s="2" t="n">
        <v>300263432</v>
      </c>
      <c r="L70" s="8" t="str">
        <f aca="false">CONCATENATE("https://vocab.getty.edu/aat/",K70)</f>
        <v>https://vocab.getty.edu/aat/300263432</v>
      </c>
    </row>
    <row r="71" customFormat="false" ht="12.8" hidden="false" customHeight="false" outlineLevel="0" collapsed="false">
      <c r="A71" s="1" t="s">
        <v>382</v>
      </c>
      <c r="B71" s="2" t="n">
        <v>57</v>
      </c>
      <c r="C71" s="1" t="s">
        <v>383</v>
      </c>
      <c r="E71" s="1" t="s">
        <v>384</v>
      </c>
      <c r="F71" s="1" t="s">
        <v>385</v>
      </c>
      <c r="G71" s="2" t="s">
        <v>386</v>
      </c>
      <c r="H71" s="8" t="str">
        <f aca="false">CONCATENATE("http://www.wikidata.org/entity/",G71)</f>
        <v>http://www.wikidata.org/entity/Q106499608</v>
      </c>
    </row>
    <row r="72" customFormat="false" ht="12.8" hidden="false" customHeight="false" outlineLevel="0" collapsed="false">
      <c r="A72" s="1" t="s">
        <v>387</v>
      </c>
      <c r="B72" s="2" t="n">
        <v>58</v>
      </c>
      <c r="C72" s="1" t="s">
        <v>388</v>
      </c>
      <c r="E72" s="1" t="s">
        <v>389</v>
      </c>
      <c r="G72" s="2" t="s">
        <v>390</v>
      </c>
      <c r="H72" s="8" t="str">
        <f aca="false">CONCATENATE("http://www.wikidata.org/entity/",G72)</f>
        <v>http://www.wikidata.org/entity/Q7553</v>
      </c>
      <c r="I72" s="2" t="s">
        <v>391</v>
      </c>
      <c r="J72" s="8" t="str">
        <f aca="false">CONCATENATE("https://d-nb.info/gnd/",I72)</f>
        <v>https://d-nb.info/gnd/4061418-9</v>
      </c>
      <c r="K72" s="2" t="n">
        <v>300069831</v>
      </c>
      <c r="L72" s="8" t="str">
        <f aca="false">CONCATENATE("https://vocab.getty.edu/aat/",K72)</f>
        <v>https://vocab.getty.edu/aat/300069831</v>
      </c>
    </row>
    <row r="73" customFormat="false" ht="12.8" hidden="false" customHeight="false" outlineLevel="0" collapsed="false">
      <c r="A73" s="1" t="s">
        <v>392</v>
      </c>
      <c r="B73" s="2" t="n">
        <v>59</v>
      </c>
      <c r="C73" s="1" t="s">
        <v>393</v>
      </c>
      <c r="D73" s="1" t="s">
        <v>337</v>
      </c>
      <c r="E73" s="1" t="s">
        <v>394</v>
      </c>
      <c r="F73" s="1" t="s">
        <v>395</v>
      </c>
      <c r="G73" s="2" t="s">
        <v>396</v>
      </c>
      <c r="H73" s="8" t="str">
        <f aca="false">CONCATENATE("http://www.wikidata.org/entity/",G73)</f>
        <v>http://www.wikidata.org/entity/Q52943</v>
      </c>
      <c r="I73" s="2" t="s">
        <v>397</v>
      </c>
      <c r="J73" s="8" t="str">
        <f aca="false">CONCATENATE("https://d-nb.info/gnd/",I73)</f>
        <v>https://d-nb.info/gnd/4020713-4</v>
      </c>
    </row>
    <row r="74" customFormat="false" ht="12.8" hidden="false" customHeight="false" outlineLevel="0" collapsed="false">
      <c r="A74" s="1" t="s">
        <v>398</v>
      </c>
      <c r="B74" s="2" t="n">
        <v>60</v>
      </c>
      <c r="C74" s="1" t="s">
        <v>399</v>
      </c>
      <c r="D74" s="1" t="s">
        <v>400</v>
      </c>
      <c r="E74" s="1" t="s">
        <v>401</v>
      </c>
      <c r="G74" s="2" t="s">
        <v>402</v>
      </c>
      <c r="H74" s="8" t="str">
        <f aca="false">CONCATENATE("http://www.wikidata.org/entity/",G74)</f>
        <v>http://www.wikidata.org/entity/Q1656682</v>
      </c>
      <c r="I74" s="2" t="s">
        <v>403</v>
      </c>
      <c r="J74" s="8" t="str">
        <f aca="false">CONCATENATE("https://d-nb.info/gnd/",I74)</f>
        <v>https://d-nb.info/gnd/4125453-3</v>
      </c>
    </row>
    <row r="75" customFormat="false" ht="12.8" hidden="false" customHeight="false" outlineLevel="0" collapsed="false">
      <c r="A75" s="1" t="s">
        <v>404</v>
      </c>
      <c r="B75" s="2" t="n">
        <v>61</v>
      </c>
      <c r="C75" s="1" t="s">
        <v>405</v>
      </c>
      <c r="D75" s="1" t="s">
        <v>406</v>
      </c>
      <c r="E75" s="1" t="s">
        <v>407</v>
      </c>
      <c r="F75" s="1" t="s">
        <v>408</v>
      </c>
      <c r="G75" s="2" t="s">
        <v>409</v>
      </c>
      <c r="H75" s="8" t="str">
        <f aca="false">CONCATENATE("http://www.wikidata.org/entity/",G75)</f>
        <v>http://www.wikidata.org/entity/Q3027665</v>
      </c>
      <c r="I75" s="2" t="s">
        <v>410</v>
      </c>
      <c r="J75" s="8" t="str">
        <f aca="false">CONCATENATE("https://d-nb.info/gnd/",I75)</f>
        <v>https://d-nb.info/gnd/4614855-3</v>
      </c>
    </row>
    <row r="76" customFormat="false" ht="12.8" hidden="false" customHeight="false" outlineLevel="0" collapsed="false">
      <c r="A76" s="1" t="s">
        <v>411</v>
      </c>
      <c r="B76" s="2" t="n">
        <v>62</v>
      </c>
      <c r="C76" s="1" t="s">
        <v>412</v>
      </c>
      <c r="D76" s="1" t="s">
        <v>413</v>
      </c>
      <c r="E76" s="1" t="s">
        <v>414</v>
      </c>
      <c r="F76" s="1" t="s">
        <v>339</v>
      </c>
      <c r="G76" s="2" t="s">
        <v>415</v>
      </c>
      <c r="H76" s="8" t="str">
        <f aca="false">CONCATENATE("http://www.wikidata.org/entity/",G76)</f>
        <v>http://www.wikidata.org/entity/Q600134</v>
      </c>
      <c r="I76" s="2" t="s">
        <v>416</v>
      </c>
      <c r="J76" s="8" t="str">
        <f aca="false">CONCATENATE("https://d-nb.info/gnd/",I76)</f>
        <v>https://d-nb.info/gnd/4166215-5</v>
      </c>
    </row>
    <row r="77" customFormat="false" ht="12.8" hidden="false" customHeight="false" outlineLevel="0" collapsed="false">
      <c r="A77" s="1" t="s">
        <v>417</v>
      </c>
      <c r="B77" s="2" t="n">
        <v>63</v>
      </c>
      <c r="C77" s="1" t="s">
        <v>418</v>
      </c>
      <c r="E77" s="1" t="s">
        <v>419</v>
      </c>
      <c r="F77" s="1" t="s">
        <v>420</v>
      </c>
      <c r="G77" s="2" t="s">
        <v>421</v>
      </c>
      <c r="H77" s="8" t="str">
        <f aca="false">CONCATENATE("http://www.wikidata.org/entity/",G77)</f>
        <v>http://www.wikidata.org/entity/Q1421331</v>
      </c>
      <c r="I77" s="2" t="s">
        <v>422</v>
      </c>
      <c r="J77" s="8" t="str">
        <f aca="false">CONCATENATE("https://d-nb.info/gnd/",I77)</f>
        <v>https://d-nb.info/gnd/4193984-0</v>
      </c>
    </row>
    <row r="78" customFormat="false" ht="12.8" hidden="false" customHeight="false" outlineLevel="0" collapsed="false">
      <c r="H78" s="8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2:N77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2025-10-15T07:21:17Z</dcterms:created>
  <dc:creator/>
  <dc:description/>
  <dc:language>en-GB</dc:language>
  <cp:lastModifiedBy/>
  <dcterms:modified xsi:type="dcterms:W3CDTF">2026-06-12T15:19:56Z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0x010100D694C1BF2A4A814DB8A490B7D9892513</vt:lpwstr>
  </property>
  <property fmtid="{D5CDD505-2E9C-101B-9397-08002B2CF9AE}" pid="3" name="MediaServiceImageTags">
    <vt:lpwstr/>
  </property>
</Properties>
</file>