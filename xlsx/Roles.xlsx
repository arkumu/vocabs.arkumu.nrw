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your_file_updated" sheetId="1" state="visible" r:id="rId3"/>
  </sheets>
  <definedNames>
    <definedName function="false" hidden="true" localSheetId="0" name="_xlnm._FilterDatabase" vbProcedure="false">your_file_updated!$A$12:$Y$420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<sst xmlns="http://schemas.openxmlformats.org/spreadsheetml/2006/main" count="3486" uniqueCount="2919">
  <si>
    <t xml:space="preserve">ConceptScheme URI</t>
  </si>
  <si>
    <t xml:space="preserve">http://w3id.org/arkumu/roles</t>
  </si>
  <si>
    <r>
      <rPr>
        <sz val="10"/>
        <rFont val="Ubuntu Sans"/>
        <family val="2"/>
        <charset val="1"/>
      </rPr>
      <t xml:space="preserve">grüner Hintergrund: lässt sich </t>
    </r>
    <r>
      <rPr>
        <sz val="10"/>
        <color theme="1"/>
        <rFont val="Ubuntu Sans"/>
        <family val="2"/>
      </rPr>
      <t xml:space="preserve"> mit https://xls2rdf.sparna.fr/web/convert </t>
    </r>
    <r>
      <rPr>
        <sz val="10"/>
        <rFont val="Ubuntu Sans"/>
        <family val="2"/>
        <charset val="1"/>
      </rPr>
      <t xml:space="preserve">nach rdf/skos konvertieren</t>
    </r>
  </si>
  <si>
    <r>
      <rPr>
        <sz val="10"/>
        <rFont val="Ubuntu Sans"/>
        <family val="2"/>
        <charset val="1"/>
      </rPr>
      <t xml:space="preserve">(Angabe aus </t>
    </r>
    <r>
      <rPr>
        <sz val="10"/>
        <rFont val="Ubuntu Sans"/>
        <family val="2"/>
      </rPr>
      <t xml:space="preserve">ursprünglichem Entwurf des Vokabulars, wichtig für </t>
    </r>
    <r>
      <rPr>
        <sz val="10"/>
        <rFont val="Ubuntu Sans"/>
        <family val="2"/>
        <charset val="1"/>
      </rPr>
      <t xml:space="preserve">Erfassungsmaske und Web-Portal. Wie kann dieser String automatisch generiert werden?)</t>
    </r>
  </si>
  <si>
    <t xml:space="preserve">wichtig für erfassung, wie mit ins Vokabular aufnehmen?</t>
  </si>
  <si>
    <t xml:space="preserve">dct:title@en</t>
  </si>
  <si>
    <t xml:space="preserve">Roles</t>
  </si>
  <si>
    <t xml:space="preserve">grau: wird nicht mit in SKOS konvertiert</t>
  </si>
  <si>
    <t xml:space="preserve">dct:title@de</t>
  </si>
  <si>
    <t xml:space="preserve">Rollen</t>
  </si>
  <si>
    <t xml:space="preserve">rot: noch zu klären</t>
  </si>
  <si>
    <t xml:space="preserve">PREFIX</t>
  </si>
  <si>
    <t xml:space="preserve">role</t>
  </si>
  <si>
    <t xml:space="preserve">BASE</t>
  </si>
  <si>
    <t xml:space="preserve">dct:description@de</t>
  </si>
  <si>
    <t xml:space="preserve">Rollen, die Akteur:innen in Ereignissen haben können</t>
  </si>
  <si>
    <t xml:space="preserve">dct:description@en</t>
  </si>
  <si>
    <t xml:space="preserve">Roles that Actors can have in Events</t>
  </si>
  <si>
    <t xml:space="preserve">dct:created^^xsd:date </t>
  </si>
  <si>
    <t xml:space="preserve">skos:editorialNote@de</t>
  </si>
  <si>
    <t xml:space="preserve">URI noch abschließend zu klären</t>
  </si>
  <si>
    <t xml:space="preserve"> dct:license</t>
  </si>
  <si>
    <t xml:space="preserve">https://creativecommons.org/publicdomain/zero/1.0/</t>
  </si>
  <si>
    <t xml:space="preserve">URI</t>
  </si>
  <si>
    <t xml:space="preserve">ID</t>
  </si>
  <si>
    <t xml:space="preserve">Parent Role ID</t>
  </si>
  <si>
    <r>
      <rPr>
        <sz val="10"/>
        <rFont val="Ubuntu Sans"/>
        <family val="2"/>
        <charset val="1"/>
      </rPr>
      <t xml:space="preserve">German Name / </t>
    </r>
    <r>
      <rPr>
        <b val="true"/>
        <sz val="10"/>
        <rFont val="Ubuntu Sans"/>
        <family val="2"/>
      </rPr>
      <t xml:space="preserve">Concept label</t>
    </r>
  </si>
  <si>
    <t xml:space="preserve">German Synonyms</t>
  </si>
  <si>
    <t xml:space="preserve">English Name</t>
  </si>
  <si>
    <t xml:space="preserve">English Synonyms</t>
  </si>
  <si>
    <t xml:space="preserve">Wikidata ID</t>
  </si>
  <si>
    <t xml:space="preserve">Wikidata URI</t>
  </si>
  <si>
    <t xml:space="preserve">GND ID (male)</t>
  </si>
  <si>
    <r>
      <rPr>
        <b val="true"/>
        <sz val="10"/>
        <rFont val="Arial"/>
        <family val="2"/>
      </rPr>
      <t xml:space="preserve">GND ID (male)</t>
    </r>
    <r>
      <rPr>
        <b val="true"/>
        <sz val="10"/>
        <rFont val="Calibri"/>
        <family val="2"/>
      </rPr>
      <t xml:space="preserve"> URI</t>
    </r>
  </si>
  <si>
    <t xml:space="preserve">GND ID (female)</t>
  </si>
  <si>
    <r>
      <rPr>
        <b val="true"/>
        <sz val="10"/>
        <rFont val="Arial"/>
        <family val="2"/>
      </rPr>
      <t xml:space="preserve">GND ID (female)</t>
    </r>
    <r>
      <rPr>
        <b val="true"/>
        <sz val="10"/>
        <rFont val="Calibri"/>
        <family val="2"/>
      </rPr>
      <t xml:space="preserve"> URI</t>
    </r>
  </si>
  <si>
    <t xml:space="preserve">GND ID (group)</t>
  </si>
  <si>
    <t xml:space="preserve">GND ID (group) URI</t>
  </si>
  <si>
    <t xml:space="preserve">AAT ID</t>
  </si>
  <si>
    <t xml:space="preserve">AAT URI</t>
  </si>
  <si>
    <t xml:space="preserve">German Breadcrumb</t>
  </si>
  <si>
    <t xml:space="preserve">English Breadcrumb</t>
  </si>
  <si>
    <t xml:space="preserve"> Concept level 1 deu</t>
  </si>
  <si>
    <t xml:space="preserve">Concept level 2 deu</t>
  </si>
  <si>
    <t xml:space="preserve">Concept level 3 deu</t>
  </si>
  <si>
    <t xml:space="preserve">Concept level 4 deu</t>
  </si>
  <si>
    <t xml:space="preserve">Pre-selects "ist Urheber:in" automatically</t>
  </si>
  <si>
    <t xml:space="preserve">Pre-selects "besitzt Leistungsschutzrechte" automatically</t>
  </si>
  <si>
    <t xml:space="preserve">skos:notation</t>
  </si>
  <si>
    <t xml:space="preserve">skos:broader(lookupColumn="skos:notation")</t>
  </si>
  <si>
    <t xml:space="preserve">skos:prefLabel@de</t>
  </si>
  <si>
    <t xml:space="preserve">skos:altLabel@de(separator=",")</t>
  </si>
  <si>
    <t xml:space="preserve">skos:prefLabel@en</t>
  </si>
  <si>
    <t xml:space="preserve">skos:altLabel@en(separator=",")</t>
  </si>
  <si>
    <t xml:space="preserve">-</t>
  </si>
  <si>
    <t xml:space="preserve">skos:exactMatch</t>
  </si>
  <si>
    <t xml:space="preserve">http://w3id.org/arkumu/roles/role-1</t>
  </si>
  <si>
    <t xml:space="preserve">1. Kameraassistenz</t>
  </si>
  <si>
    <t xml:space="preserve">1. Kameraassistentin,1. Kameraassistent</t>
  </si>
  <si>
    <t xml:space="preserve">1st assistant camera</t>
  </si>
  <si>
    <t xml:space="preserve">camera operator,focus puller</t>
  </si>
  <si>
    <t xml:space="preserve">Q1639269</t>
  </si>
  <si>
    <t xml:space="preserve">http://w3id.org/arkumu/roles/role-2</t>
  </si>
  <si>
    <t xml:space="preserve">2. Kameraassistenz</t>
  </si>
  <si>
    <t xml:space="preserve">2. Kamerassistentin,2.  Kamerassistent</t>
  </si>
  <si>
    <t xml:space="preserve">2nd assistant camera</t>
  </si>
  <si>
    <t xml:space="preserve">clapper loader,film loader</t>
  </si>
  <si>
    <t xml:space="preserve">Q834381</t>
  </si>
  <si>
    <t xml:space="preserve">http://w3id.org/arkumu/roles/role-3</t>
  </si>
  <si>
    <t xml:space="preserve">Absolvent:in</t>
  </si>
  <si>
    <t xml:space="preserve">Absolventin,Absolvent</t>
  </si>
  <si>
    <t xml:space="preserve">graduate</t>
  </si>
  <si>
    <t xml:space="preserve">Q508719</t>
  </si>
  <si>
    <t xml:space="preserve">4191664-5</t>
  </si>
  <si>
    <t xml:space="preserve">4273631-6</t>
  </si>
  <si>
    <t xml:space="preserve">http://w3id.org/arkumu/roles/role-4</t>
  </si>
  <si>
    <t xml:space="preserve">Agent:in</t>
  </si>
  <si>
    <t xml:space="preserve">Künstleragentin,Künstleragent,Musikagentin,Musikagent,Agentin,Agent</t>
  </si>
  <si>
    <t xml:space="preserve">agent</t>
  </si>
  <si>
    <t xml:space="preserve">booking agent,talent agent</t>
  </si>
  <si>
    <t xml:space="preserve">Q1344174</t>
  </si>
  <si>
    <t xml:space="preserve">http://w3id.org/arkumu/roles/role-5</t>
  </si>
  <si>
    <t xml:space="preserve">Amateur:in</t>
  </si>
  <si>
    <t xml:space="preserve">Amateurin,Amateur</t>
  </si>
  <si>
    <t xml:space="preserve">amateur</t>
  </si>
  <si>
    <t xml:space="preserve">Q455595</t>
  </si>
  <si>
    <t xml:space="preserve">4142161-9</t>
  </si>
  <si>
    <t xml:space="preserve">http://w3id.org/arkumu/roles/role-6</t>
  </si>
  <si>
    <t xml:space="preserve">Animation</t>
  </si>
  <si>
    <t xml:space="preserve">Animator,Animateurin</t>
  </si>
  <si>
    <t xml:space="preserve">animation</t>
  </si>
  <si>
    <t xml:space="preserve">Q266569</t>
  </si>
  <si>
    <t xml:space="preserve">Animation:in</t>
  </si>
  <si>
    <t xml:space="preserve">http://w3id.org/arkumu/roles/role-7</t>
  </si>
  <si>
    <t xml:space="preserve">Anthropolog:in</t>
  </si>
  <si>
    <t xml:space="preserve">Menschenkundlerin,Menschenkundler,Anthropologin,Anthropologe</t>
  </si>
  <si>
    <t xml:space="preserve">anthropologist</t>
  </si>
  <si>
    <t xml:space="preserve">Q4773904</t>
  </si>
  <si>
    <t xml:space="preserve">4142642-3</t>
  </si>
  <si>
    <t xml:space="preserve">4254397-6</t>
  </si>
  <si>
    <t xml:space="preserve">http://w3id.org/arkumu/roles/role-8</t>
  </si>
  <si>
    <t xml:space="preserve">Archäolog:in</t>
  </si>
  <si>
    <t xml:space="preserve">Archäologin,Archäologe</t>
  </si>
  <si>
    <t xml:space="preserve">archaeologist</t>
  </si>
  <si>
    <t xml:space="preserve">Q3621491</t>
  </si>
  <si>
    <t xml:space="preserve">4191824-1</t>
  </si>
  <si>
    <t xml:space="preserve">4361365-2</t>
  </si>
  <si>
    <t xml:space="preserve">http://w3id.org/arkumu/roles/role-9</t>
  </si>
  <si>
    <t xml:space="preserve">Archivar:in</t>
  </si>
  <si>
    <t xml:space="preserve">Archivarin,Archivar</t>
  </si>
  <si>
    <t xml:space="preserve">archivist</t>
  </si>
  <si>
    <t xml:space="preserve">Q635734</t>
  </si>
  <si>
    <t xml:space="preserve">4002865-3</t>
  </si>
  <si>
    <t xml:space="preserve">4874302-1</t>
  </si>
  <si>
    <t xml:space="preserve">http://w3id.org/arkumu/roles/role-10</t>
  </si>
  <si>
    <t xml:space="preserve">Arrangeur:in</t>
  </si>
  <si>
    <t xml:space="preserve">Arrangeurin,Arrangeur</t>
  </si>
  <si>
    <t xml:space="preserve">music arranger</t>
  </si>
  <si>
    <t xml:space="preserve">Q1643514</t>
  </si>
  <si>
    <t xml:space="preserve">4604119-9</t>
  </si>
  <si>
    <t xml:space="preserve">7712885-0</t>
  </si>
  <si>
    <t xml:space="preserve">http://w3id.org/arkumu/roles/role-11</t>
  </si>
  <si>
    <t xml:space="preserve">Arzt/Ärztin</t>
  </si>
  <si>
    <t xml:space="preserve">Medizinerin,Mediziner</t>
  </si>
  <si>
    <t xml:space="preserve">physician</t>
  </si>
  <si>
    <t xml:space="preserve">medical doctor</t>
  </si>
  <si>
    <t xml:space="preserve">Q39631</t>
  </si>
  <si>
    <t xml:space="preserve">4003157-3</t>
  </si>
  <si>
    <t xml:space="preserve">4140665-5</t>
  </si>
  <si>
    <t xml:space="preserve">http://w3id.org/arkumu/roles/role-12</t>
  </si>
  <si>
    <t xml:space="preserve">Augenarzt/Augenärztin</t>
  </si>
  <si>
    <t xml:space="preserve">Ophthalmologin,Ophthalmologe,oculist</t>
  </si>
  <si>
    <t xml:space="preserve">ophthalmologist</t>
  </si>
  <si>
    <t xml:space="preserve">Q12013238</t>
  </si>
  <si>
    <t xml:space="preserve">4003579-7</t>
  </si>
  <si>
    <t xml:space="preserve">7555959-6</t>
  </si>
  <si>
    <t xml:space="preserve">Arzt/Ärztin &gt; Augenarzt/Augenärztin</t>
  </si>
  <si>
    <t xml:space="preserve">physician &gt; ophthalmologist</t>
  </si>
  <si>
    <t xml:space="preserve">http://w3id.org/arkumu/roles/role-13</t>
  </si>
  <si>
    <t xml:space="preserve">Assistent:in</t>
  </si>
  <si>
    <t xml:space="preserve">Assistentin,Assistent</t>
  </si>
  <si>
    <t xml:space="preserve">assistant</t>
  </si>
  <si>
    <t xml:space="preserve">Q23835475</t>
  </si>
  <si>
    <t xml:space="preserve">4348052-4</t>
  </si>
  <si>
    <t xml:space="preserve">http://w3id.org/arkumu/roles/role-14</t>
  </si>
  <si>
    <t xml:space="preserve">Aufnahmeexpert:in</t>
  </si>
  <si>
    <t xml:space="preserve">Aufnahmeexpertin,Aufnahmeexperte</t>
  </si>
  <si>
    <t xml:space="preserve">recording expert</t>
  </si>
  <si>
    <t xml:space="preserve">Q123096251</t>
  </si>
  <si>
    <t xml:space="preserve">http://w3id.org/arkumu/roles/role-15</t>
  </si>
  <si>
    <t xml:space="preserve">Aufnahmeleiter:in</t>
  </si>
  <si>
    <t xml:space="preserve">Aufnahmeleitung,Aufnahmeleiterin,Aufnahmeleiter</t>
  </si>
  <si>
    <t xml:space="preserve">recording supervisor</t>
  </si>
  <si>
    <t xml:space="preserve">Q18535215</t>
  </si>
  <si>
    <t xml:space="preserve">4402399-6</t>
  </si>
  <si>
    <t xml:space="preserve">http://w3id.org/arkumu/roles/role-16</t>
  </si>
  <si>
    <t xml:space="preserve">Tonmeister:in</t>
  </si>
  <si>
    <t xml:space="preserve">Tonmeisterin,Tonmeister</t>
  </si>
  <si>
    <t xml:space="preserve">tonmeister</t>
  </si>
  <si>
    <t xml:space="preserve">recording producer,balance engineer</t>
  </si>
  <si>
    <t xml:space="preserve">Q2442108</t>
  </si>
  <si>
    <t xml:space="preserve">4375554-9</t>
  </si>
  <si>
    <t xml:space="preserve">7859952-0</t>
  </si>
  <si>
    <t xml:space="preserve">Aufnahmeleiter:in &gt; Tonmeister:in</t>
  </si>
  <si>
    <t xml:space="preserve">recording supervisor &gt; tonmeister</t>
  </si>
  <si>
    <t xml:space="preserve">http://w3id.org/arkumu/roles/role-17</t>
  </si>
  <si>
    <t xml:space="preserve">Auftraggeber:in</t>
  </si>
  <si>
    <t xml:space="preserve">Auftraggeberin,Auftraggeber</t>
  </si>
  <si>
    <t xml:space="preserve">commissioner</t>
  </si>
  <si>
    <t xml:space="preserve">Q760086</t>
  </si>
  <si>
    <t xml:space="preserve">4143425-0</t>
  </si>
  <si>
    <t xml:space="preserve">http://w3id.org/arkumu/roles/role-18</t>
  </si>
  <si>
    <t xml:space="preserve">Autor:in</t>
  </si>
  <si>
    <t xml:space="preserve">Verfasserin,Verfasser,Buchautorin,Buchautor,Schriftstellerin,Schriftsteller,Autorin,Autor</t>
  </si>
  <si>
    <t xml:space="preserve">author</t>
  </si>
  <si>
    <t xml:space="preserve">Q482980</t>
  </si>
  <si>
    <t xml:space="preserve">4003982-1</t>
  </si>
  <si>
    <t xml:space="preserve">4258697-5</t>
  </si>
  <si>
    <t xml:space="preserve">http://w3id.org/arkumu/roles/role-19</t>
  </si>
  <si>
    <t xml:space="preserve">Dramatiker:in</t>
  </si>
  <si>
    <t xml:space="preserve">Theaterautorin,Theaterautor,Dramenschreiberin,Dramenschreiber,Dramatikerin,Dramatiker</t>
  </si>
  <si>
    <t xml:space="preserve">playwright</t>
  </si>
  <si>
    <t xml:space="preserve">dramatist</t>
  </si>
  <si>
    <t xml:space="preserve">Q214917</t>
  </si>
  <si>
    <t xml:space="preserve">4140241-8</t>
  </si>
  <si>
    <t xml:space="preserve">4123077-2</t>
  </si>
  <si>
    <t xml:space="preserve">Autor:in &gt; Dramatiker:in</t>
  </si>
  <si>
    <t xml:space="preserve">author &gt; playwright</t>
  </si>
  <si>
    <t xml:space="preserve">http://w3id.org/arkumu/roles/role-20</t>
  </si>
  <si>
    <t xml:space="preserve">Romanautor:in</t>
  </si>
  <si>
    <t xml:space="preserve">Romancière,Romancier,Romanautorin,Romanautor</t>
  </si>
  <si>
    <t xml:space="preserve">novelist</t>
  </si>
  <si>
    <t xml:space="preserve">Q6625963</t>
  </si>
  <si>
    <t xml:space="preserve">4124076-5</t>
  </si>
  <si>
    <t xml:space="preserve">4178446-7</t>
  </si>
  <si>
    <t xml:space="preserve">Autor:in &gt; Romanautor:in</t>
  </si>
  <si>
    <t xml:space="preserve">author &gt; novelist</t>
  </si>
  <si>
    <t xml:space="preserve">http://w3id.org/arkumu/roles/role-21</t>
  </si>
  <si>
    <t xml:space="preserve">Ballettmeister:in</t>
  </si>
  <si>
    <t xml:space="preserve">Maître de Ballet,Directeur da la Danse,Ballettmeisterin,Ballettmeister</t>
  </si>
  <si>
    <t xml:space="preserve">ballet master</t>
  </si>
  <si>
    <t xml:space="preserve">Q805253</t>
  </si>
  <si>
    <t xml:space="preserve">http://w3id.org/arkumu/roles/role-22</t>
  </si>
  <si>
    <t xml:space="preserve">Bankbeamt:in</t>
  </si>
  <si>
    <t xml:space="preserve">Bankerin,Banker,Bankbeamtin,Bankbeamter</t>
  </si>
  <si>
    <t xml:space="preserve">bank officer</t>
  </si>
  <si>
    <t xml:space="preserve">Q806717</t>
  </si>
  <si>
    <t xml:space="preserve">http://w3id.org/arkumu/roles/role-23</t>
  </si>
  <si>
    <t xml:space="preserve">Barbetreiber:in</t>
  </si>
  <si>
    <t xml:space="preserve">Barbetreiberin,Barbetreiber</t>
  </si>
  <si>
    <t xml:space="preserve">bar manager</t>
  </si>
  <si>
    <t xml:space="preserve">bar owner</t>
  </si>
  <si>
    <t xml:space="preserve">Q87282152</t>
  </si>
  <si>
    <t xml:space="preserve">http://w3id.org/arkumu/roles/role-24</t>
  </si>
  <si>
    <t xml:space="preserve">Beleuchter:in</t>
  </si>
  <si>
    <t xml:space="preserve">Oberbeleuchterin,Oberbeleuchter,Beleuchterin,Beleuchter</t>
  </si>
  <si>
    <t xml:space="preserve">lighting technician</t>
  </si>
  <si>
    <t xml:space="preserve">gaffer</t>
  </si>
  <si>
    <t xml:space="preserve">Q1424726</t>
  </si>
  <si>
    <t xml:space="preserve">http://w3id.org/arkumu/roles/role-25</t>
  </si>
  <si>
    <t xml:space="preserve">Bergbauingenieur:in</t>
  </si>
  <si>
    <t xml:space="preserve">Bergingenieurin,Bergingenieur,Bergbauingenieurin,Bergbauingenieur</t>
  </si>
  <si>
    <t xml:space="preserve">mining engineer</t>
  </si>
  <si>
    <t xml:space="preserve">Q18524075</t>
  </si>
  <si>
    <t xml:space="preserve">4548714-5</t>
  </si>
  <si>
    <t xml:space="preserve">http://w3id.org/arkumu/roles/role-26</t>
  </si>
  <si>
    <t xml:space="preserve">Besitzer:in</t>
  </si>
  <si>
    <t xml:space="preserve">Besitzerin,Besitzer</t>
  </si>
  <si>
    <t xml:space="preserve">possessor</t>
  </si>
  <si>
    <t xml:space="preserve">owner</t>
  </si>
  <si>
    <t xml:space="preserve">Q57575097</t>
  </si>
  <si>
    <t xml:space="preserve">4144900-9</t>
  </si>
  <si>
    <t xml:space="preserve">http://w3id.org/arkumu/roles/role-27</t>
  </si>
  <si>
    <t xml:space="preserve">Betreuer:in</t>
  </si>
  <si>
    <t xml:space="preserve">Betreuerin,Betreuer,betreuende Hochschullehrerin,betreuender Hochschullehrer,akademische Betreuung</t>
  </si>
  <si>
    <t xml:space="preserve">academic supervisor</t>
  </si>
  <si>
    <t xml:space="preserve">Q1622272</t>
  </si>
  <si>
    <t xml:space="preserve">http://w3id.org/arkumu/roles/role-28</t>
  </si>
  <si>
    <t xml:space="preserve">Bibliothekar:in</t>
  </si>
  <si>
    <t xml:space="preserve">Bibliothekarin,Bibliothekar</t>
  </si>
  <si>
    <t xml:space="preserve">librarian</t>
  </si>
  <si>
    <t xml:space="preserve">Q182436</t>
  </si>
  <si>
    <t xml:space="preserve">4145258-6</t>
  </si>
  <si>
    <t xml:space="preserve">4145264-1</t>
  </si>
  <si>
    <t xml:space="preserve">http://w3id.org/arkumu/roles/role-29</t>
  </si>
  <si>
    <t xml:space="preserve">Bildgestalter:in</t>
  </si>
  <si>
    <t xml:space="preserve">Kameramann,Kamerafrau,Bildgestalterin,Bildgestalter</t>
  </si>
  <si>
    <t xml:space="preserve">cinematographer</t>
  </si>
  <si>
    <t xml:space="preserve">DoP</t>
  </si>
  <si>
    <t xml:space="preserve">Q222344</t>
  </si>
  <si>
    <t xml:space="preserve">4029412-2</t>
  </si>
  <si>
    <t xml:space="preserve">4493238-8</t>
  </si>
  <si>
    <t xml:space="preserve">http://w3id.org/arkumu/roles/role-30</t>
  </si>
  <si>
    <t xml:space="preserve">Blechbläser:in</t>
  </si>
  <si>
    <t xml:space="preserve">Blechbläserin,Blechbläser</t>
  </si>
  <si>
    <t xml:space="preserve">brass player</t>
  </si>
  <si>
    <t xml:space="preserve">Q25829748</t>
  </si>
  <si>
    <t xml:space="preserve">4126730-8</t>
  </si>
  <si>
    <t xml:space="preserve">7852283-3</t>
  </si>
  <si>
    <t xml:space="preserve">http://w3id.org/arkumu/roles/role-31</t>
  </si>
  <si>
    <t xml:space="preserve">Hornist:in</t>
  </si>
  <si>
    <t xml:space="preserve">Hornistin,Hornist</t>
  </si>
  <si>
    <t xml:space="preserve">hornist</t>
  </si>
  <si>
    <t xml:space="preserve">Q19729565</t>
  </si>
  <si>
    <t xml:space="preserve">4712307-2</t>
  </si>
  <si>
    <t xml:space="preserve">7553331-5</t>
  </si>
  <si>
    <t xml:space="preserve">Blechbläser:in &gt; Hornist:in</t>
  </si>
  <si>
    <t xml:space="preserve">brass player &gt; hornist</t>
  </si>
  <si>
    <t xml:space="preserve">http://w3id.org/arkumu/roles/role-32</t>
  </si>
  <si>
    <t xml:space="preserve">Kornettist:in</t>
  </si>
  <si>
    <t xml:space="preserve">Kornettistin,Kornettist</t>
  </si>
  <si>
    <t xml:space="preserve">cornetist</t>
  </si>
  <si>
    <t xml:space="preserve">Q24574678</t>
  </si>
  <si>
    <t xml:space="preserve">7553341-8</t>
  </si>
  <si>
    <t xml:space="preserve">7553340-6</t>
  </si>
  <si>
    <t xml:space="preserve">Blechbläser:in &gt; Kornettist:in</t>
  </si>
  <si>
    <t xml:space="preserve">brass player &gt; cornetist</t>
  </si>
  <si>
    <t xml:space="preserve">http://w3id.org/arkumu/roles/role-33</t>
  </si>
  <si>
    <t xml:space="preserve">Posaunist:in</t>
  </si>
  <si>
    <t xml:space="preserve">Posaunistin,Posaunist</t>
  </si>
  <si>
    <t xml:space="preserve">trombonist</t>
  </si>
  <si>
    <t xml:space="preserve">Q544972</t>
  </si>
  <si>
    <t xml:space="preserve">4351420-0</t>
  </si>
  <si>
    <t xml:space="preserve">7540272-5</t>
  </si>
  <si>
    <t xml:space="preserve">Blechbläser:in &gt; Posaunist:in</t>
  </si>
  <si>
    <t xml:space="preserve">brass player &gt; trombonist</t>
  </si>
  <si>
    <t xml:space="preserve">http://w3id.org/arkumu/roles/role-34</t>
  </si>
  <si>
    <t xml:space="preserve">Trompeter:in</t>
  </si>
  <si>
    <t xml:space="preserve">Trompeterin,Trompeter</t>
  </si>
  <si>
    <t xml:space="preserve">trumpeter</t>
  </si>
  <si>
    <t xml:space="preserve">Q12377274</t>
  </si>
  <si>
    <t xml:space="preserve">4462762-2</t>
  </si>
  <si>
    <t xml:space="preserve">7553287-6</t>
  </si>
  <si>
    <t xml:space="preserve">Blechbläser:in &gt; Trompeter:in</t>
  </si>
  <si>
    <t xml:space="preserve">brass player &gt; trumpeter</t>
  </si>
  <si>
    <t xml:space="preserve">http://w3id.org/arkumu/roles/role-35</t>
  </si>
  <si>
    <t xml:space="preserve">Tubist:in</t>
  </si>
  <si>
    <t xml:space="preserve">Tubaspielerin,Tubaspieler,Tubistin,Tubist</t>
  </si>
  <si>
    <t xml:space="preserve">tuba player</t>
  </si>
  <si>
    <t xml:space="preserve">tubist,tubaist</t>
  </si>
  <si>
    <t xml:space="preserve">Q16156383</t>
  </si>
  <si>
    <t xml:space="preserve">7553291-8</t>
  </si>
  <si>
    <t xml:space="preserve">7553290-6</t>
  </si>
  <si>
    <t xml:space="preserve">Blechbläser:in &gt; Tubist:in</t>
  </si>
  <si>
    <t xml:space="preserve">brass player &gt; tuba player</t>
  </si>
  <si>
    <t xml:space="preserve">http://w3id.org/arkumu/roles/role-36</t>
  </si>
  <si>
    <t xml:space="preserve">Zinkenist:in</t>
  </si>
  <si>
    <t xml:space="preserve">Zinkenistin,Zinkenist</t>
  </si>
  <si>
    <t xml:space="preserve">cornettist</t>
  </si>
  <si>
    <t xml:space="preserve">Q59139094</t>
  </si>
  <si>
    <t xml:space="preserve">7628941-2</t>
  </si>
  <si>
    <t xml:space="preserve">Blechbläser:in &gt; Zinkenist:in</t>
  </si>
  <si>
    <t xml:space="preserve">brass player &gt; cornettist</t>
  </si>
  <si>
    <t xml:space="preserve">http://w3id.org/arkumu/roles/role-37</t>
  </si>
  <si>
    <t xml:space="preserve">Buchhalter:in</t>
  </si>
  <si>
    <t xml:space="preserve">Buchhalterin,Buchhalter</t>
  </si>
  <si>
    <t xml:space="preserve">bookkeeper</t>
  </si>
  <si>
    <t xml:space="preserve">accounting clerk</t>
  </si>
  <si>
    <t xml:space="preserve">Q56224063</t>
  </si>
  <si>
    <t xml:space="preserve">4122969-1</t>
  </si>
  <si>
    <t xml:space="preserve">7586536-1</t>
  </si>
  <si>
    <t xml:space="preserve">http://w3id.org/arkumu/roles/role-38</t>
  </si>
  <si>
    <t xml:space="preserve">Bühnenbildner:in</t>
  </si>
  <si>
    <t xml:space="preserve">Szenograf,Bühnenbildnerin,Bühnenbildner</t>
  </si>
  <si>
    <t xml:space="preserve">scenographer</t>
  </si>
  <si>
    <t xml:space="preserve">stage designer,set designer</t>
  </si>
  <si>
    <t xml:space="preserve">Q2707485</t>
  </si>
  <si>
    <t xml:space="preserve">4122089-4</t>
  </si>
  <si>
    <t xml:space="preserve">7614391-0</t>
  </si>
  <si>
    <t xml:space="preserve">http://w3id.org/arkumu/roles/role-39</t>
  </si>
  <si>
    <t xml:space="preserve">Bühnenregisseur:in</t>
  </si>
  <si>
    <t xml:space="preserve">Bühnenregisseurin,Bühnenregisseur,Theaterregisseurin,Theaterregisseur</t>
  </si>
  <si>
    <t xml:space="preserve">theatrical director</t>
  </si>
  <si>
    <t xml:space="preserve">stage director,theatre director,theater director</t>
  </si>
  <si>
    <t xml:space="preserve">Q3387717</t>
  </si>
  <si>
    <t xml:space="preserve">4185053-1</t>
  </si>
  <si>
    <t xml:space="preserve">4469908-6</t>
  </si>
  <si>
    <t xml:space="preserve">http://w3id.org/arkumu/roles/role-40</t>
  </si>
  <si>
    <t xml:space="preserve">Bühnentechniker:in</t>
  </si>
  <si>
    <t xml:space="preserve">Bühnentechnikerin,Bühnentechniker</t>
  </si>
  <si>
    <t xml:space="preserve">theatrical technician</t>
  </si>
  <si>
    <t xml:space="preserve">Q1020621</t>
  </si>
  <si>
    <t xml:space="preserve">4485037-2</t>
  </si>
  <si>
    <t xml:space="preserve">http://w3id.org/arkumu/roles/role-41</t>
  </si>
  <si>
    <t xml:space="preserve">Choreograf:in</t>
  </si>
  <si>
    <t xml:space="preserve">Choreografin,Choreograf</t>
  </si>
  <si>
    <t xml:space="preserve">choreographer</t>
  </si>
  <si>
    <t xml:space="preserve">Q2490358</t>
  </si>
  <si>
    <t xml:space="preserve">4277171-7</t>
  </si>
  <si>
    <t xml:space="preserve">4637659-8</t>
  </si>
  <si>
    <t xml:space="preserve">http://w3id.org/arkumu/roles/role-42</t>
  </si>
  <si>
    <t xml:space="preserve">Co-Autor:in</t>
  </si>
  <si>
    <t xml:space="preserve">Co-Autorin,Co-Autor</t>
  </si>
  <si>
    <t xml:space="preserve">co-author</t>
  </si>
  <si>
    <t xml:space="preserve">Q15735983</t>
  </si>
  <si>
    <t xml:space="preserve">http://w3id.org/arkumu/roles/role-43</t>
  </si>
  <si>
    <t xml:space="preserve">Colour Grading</t>
  </si>
  <si>
    <t xml:space="preserve">Farbkorrektur</t>
  </si>
  <si>
    <t xml:space="preserve">colour grading</t>
  </si>
  <si>
    <t xml:space="preserve">color grading</t>
  </si>
  <si>
    <t xml:space="preserve">Q1396390</t>
  </si>
  <si>
    <t xml:space="preserve">http://w3id.org/arkumu/roles/role-44</t>
  </si>
  <si>
    <t xml:space="preserve">Designer:in</t>
  </si>
  <si>
    <t xml:space="preserve">Gestalter,Gestalterin,Designerin,Designer</t>
  </si>
  <si>
    <t xml:space="preserve">designer</t>
  </si>
  <si>
    <t xml:space="preserve">Q5322166</t>
  </si>
  <si>
    <t xml:space="preserve">4149173-7</t>
  </si>
  <si>
    <t xml:space="preserve">4425811-2</t>
  </si>
  <si>
    <t xml:space="preserve">http://w3id.org/arkumu/roles/role-45</t>
  </si>
  <si>
    <t xml:space="preserve">Dichterkomponist:in</t>
  </si>
  <si>
    <t xml:space="preserve">Dichterkomponistin,Dichterkomponist</t>
  </si>
  <si>
    <t xml:space="preserve">poet-composer</t>
  </si>
  <si>
    <t xml:space="preserve">Q104704532</t>
  </si>
  <si>
    <t xml:space="preserve">http://w3id.org/arkumu/roles/role-46</t>
  </si>
  <si>
    <t xml:space="preserve">Digitalisierer:in</t>
  </si>
  <si>
    <t xml:space="preserve">Digitalisiererin,Digitalisierer</t>
  </si>
  <si>
    <t xml:space="preserve">digitisation officer</t>
  </si>
  <si>
    <t xml:space="preserve">Q123094923</t>
  </si>
  <si>
    <t xml:space="preserve">http://w3id.org/arkumu/roles/role-47</t>
  </si>
  <si>
    <t xml:space="preserve">Diplomat:in</t>
  </si>
  <si>
    <t xml:space="preserve">Diplomatin,Diplomat</t>
  </si>
  <si>
    <t xml:space="preserve">diplomat</t>
  </si>
  <si>
    <t xml:space="preserve">Q193391</t>
  </si>
  <si>
    <t xml:space="preserve">4012401-0</t>
  </si>
  <si>
    <t xml:space="preserve">4392605-8</t>
  </si>
  <si>
    <t xml:space="preserve">http://w3id.org/arkumu/roles/role-48</t>
  </si>
  <si>
    <t xml:space="preserve">Dirigent:in</t>
  </si>
  <si>
    <t xml:space="preserve">Dirigentin,Dirigent</t>
  </si>
  <si>
    <t xml:space="preserve">conductor</t>
  </si>
  <si>
    <t xml:space="preserve">Q158852</t>
  </si>
  <si>
    <t xml:space="preserve">4012434-4</t>
  </si>
  <si>
    <t xml:space="preserve">4648823-6</t>
  </si>
  <si>
    <t xml:space="preserve">http://w3id.org/arkumu/roles/role-49</t>
  </si>
  <si>
    <t xml:space="preserve">Chorleiter:in</t>
  </si>
  <si>
    <t xml:space="preserve">Chordirektorin,Chordirektor,Chorleiterin,Chorleiter</t>
  </si>
  <si>
    <t xml:space="preserve">choir director</t>
  </si>
  <si>
    <t xml:space="preserve">choirmaster</t>
  </si>
  <si>
    <t xml:space="preserve">Q1076502</t>
  </si>
  <si>
    <t xml:space="preserve">4443068-1</t>
  </si>
  <si>
    <t xml:space="preserve">7553296-7</t>
  </si>
  <si>
    <t xml:space="preserve">Dirigent:in &gt; Chorleiter:in</t>
  </si>
  <si>
    <t xml:space="preserve">conductor &gt; choir director</t>
  </si>
  <si>
    <t xml:space="preserve">http://w3id.org/arkumu/roles/role-50</t>
  </si>
  <si>
    <t xml:space="preserve">Ensembleleiter:in</t>
  </si>
  <si>
    <t xml:space="preserve">Ensembleleiterin,Ensembleleiter</t>
  </si>
  <si>
    <t xml:space="preserve">ensemble leader</t>
  </si>
  <si>
    <t xml:space="preserve">ensemble director</t>
  </si>
  <si>
    <t xml:space="preserve">Q1344301</t>
  </si>
  <si>
    <t xml:space="preserve">4408122-4</t>
  </si>
  <si>
    <t xml:space="preserve">Dirigent:in &gt; Ensembleleiter:in</t>
  </si>
  <si>
    <t xml:space="preserve">conductor &gt; ensemble leader</t>
  </si>
  <si>
    <t xml:space="preserve">http://w3id.org/arkumu/roles/role-51</t>
  </si>
  <si>
    <t xml:space="preserve">Generalmusikdirektor:in</t>
  </si>
  <si>
    <t xml:space="preserve">Generalmusikdirektorin,Generalmusikdirektor</t>
  </si>
  <si>
    <t xml:space="preserve">general music director</t>
  </si>
  <si>
    <t xml:space="preserve">Q48995718</t>
  </si>
  <si>
    <t xml:space="preserve">4398808-8</t>
  </si>
  <si>
    <t xml:space="preserve">Dirigent:in &gt; Generalmusikdirektor:in</t>
  </si>
  <si>
    <t xml:space="preserve">conductor &gt; general music director</t>
  </si>
  <si>
    <t xml:space="preserve">http://w3id.org/arkumu/roles/role-52</t>
  </si>
  <si>
    <t xml:space="preserve">Kantor:in (christlich)</t>
  </si>
  <si>
    <t xml:space="preserve">Kantorin (christlich),Kantor (christlich)</t>
  </si>
  <si>
    <t xml:space="preserve">cantor</t>
  </si>
  <si>
    <t xml:space="preserve">Q330679</t>
  </si>
  <si>
    <t xml:space="preserve">4163221-7</t>
  </si>
  <si>
    <t xml:space="preserve">7590418-4</t>
  </si>
  <si>
    <t xml:space="preserve">Dirigent:in &gt; Kantor:in (christlich)</t>
  </si>
  <si>
    <t xml:space="preserve">conductor &gt; cantor</t>
  </si>
  <si>
    <t xml:space="preserve">http://w3id.org/arkumu/roles/role-53</t>
  </si>
  <si>
    <t xml:space="preserve">Orchesterleiter:in</t>
  </si>
  <si>
    <t xml:space="preserve">Orchesterleiterin,Orchesterleiter</t>
  </si>
  <si>
    <t xml:space="preserve">band leader</t>
  </si>
  <si>
    <t xml:space="preserve">Q215793</t>
  </si>
  <si>
    <t xml:space="preserve">7524748-3</t>
  </si>
  <si>
    <t xml:space="preserve">Dirigent:in &gt; Orchesterleiter:in</t>
  </si>
  <si>
    <t xml:space="preserve">conductor &gt; band leader</t>
  </si>
  <si>
    <t xml:space="preserve">http://w3id.org/arkumu/roles/role-54</t>
  </si>
  <si>
    <t xml:space="preserve">DJ</t>
  </si>
  <si>
    <t xml:space="preserve">disc jockey,djane</t>
  </si>
  <si>
    <t xml:space="preserve">Q130857</t>
  </si>
  <si>
    <t xml:space="preserve">4380204-7</t>
  </si>
  <si>
    <t xml:space="preserve">7553303-0</t>
  </si>
  <si>
    <t xml:space="preserve">http://w3id.org/arkumu/roles/role-55</t>
  </si>
  <si>
    <t xml:space="preserve">Dramaturg:in</t>
  </si>
  <si>
    <t xml:space="preserve">Dramaturgin,Dramaturg</t>
  </si>
  <si>
    <t xml:space="preserve">dramaturge</t>
  </si>
  <si>
    <t xml:space="preserve">Q487596</t>
  </si>
  <si>
    <t xml:space="preserve">4398838-6</t>
  </si>
  <si>
    <t xml:space="preserve">4750929-6</t>
  </si>
  <si>
    <t xml:space="preserve">http://w3id.org/arkumu/roles/role-56</t>
  </si>
  <si>
    <t xml:space="preserve">Drehbuchautor:in</t>
  </si>
  <si>
    <t xml:space="preserve">Buch,Drehbuchautorin,Drehbuchautor</t>
  </si>
  <si>
    <t xml:space="preserve">screen writer</t>
  </si>
  <si>
    <t xml:space="preserve">Q28389</t>
  </si>
  <si>
    <t xml:space="preserve">4294338-3</t>
  </si>
  <si>
    <t xml:space="preserve">4302523-7</t>
  </si>
  <si>
    <t xml:space="preserve">http://w3id.org/arkumu/roles/role-57</t>
  </si>
  <si>
    <t xml:space="preserve">Durchschlagzungeninstrumenten-Spieler:in</t>
  </si>
  <si>
    <t xml:space="preserve">Durchschlagzungeninstrumenten-Spielerin,Durchschlagzungeninstrumenten-Spieler</t>
  </si>
  <si>
    <t xml:space="preserve">free-reed player</t>
  </si>
  <si>
    <t xml:space="preserve">free reed player,free reed aerophone player</t>
  </si>
  <si>
    <t xml:space="preserve">Q123106465</t>
  </si>
  <si>
    <t xml:space="preserve">http://w3id.org/arkumu/roles/role-58</t>
  </si>
  <si>
    <t xml:space="preserve">Akkordeonist:in</t>
  </si>
  <si>
    <t xml:space="preserve">Akkordeonistin,Akkordeonist</t>
  </si>
  <si>
    <t xml:space="preserve">accordionist</t>
  </si>
  <si>
    <t xml:space="preserve">Q1863064</t>
  </si>
  <si>
    <t xml:space="preserve">4776375-9</t>
  </si>
  <si>
    <t xml:space="preserve">7553267-0</t>
  </si>
  <si>
    <t xml:space="preserve">Durchschlagzungeninstrumenten-Spieler:in &gt; Akkordeonist:in</t>
  </si>
  <si>
    <t xml:space="preserve">free-reed player &gt; accordionist</t>
  </si>
  <si>
    <t xml:space="preserve">http://w3id.org/arkumu/roles/role-59</t>
  </si>
  <si>
    <t xml:space="preserve">Konzertinaspieler:in</t>
  </si>
  <si>
    <t xml:space="preserve">Konzertinaspielerin,Konzertinaspieler</t>
  </si>
  <si>
    <t xml:space="preserve">concertina player</t>
  </si>
  <si>
    <t xml:space="preserve">Q88105790</t>
  </si>
  <si>
    <t xml:space="preserve">Durchschlagzungeninstrumenten-Spieler:in &gt; Konzertinaspieler:in</t>
  </si>
  <si>
    <t xml:space="preserve">free-reed player &gt; concertina player</t>
  </si>
  <si>
    <t xml:space="preserve">http://w3id.org/arkumu/roles/role-60</t>
  </si>
  <si>
    <t xml:space="preserve">Mundharmonikaspieler:in</t>
  </si>
  <si>
    <t xml:space="preserve">Mundharmonikaspielerin,Mundharmonikaspieler</t>
  </si>
  <si>
    <t xml:space="preserve">harmonica player</t>
  </si>
  <si>
    <t xml:space="preserve">harmonicist,mouth organist,mouth harpist</t>
  </si>
  <si>
    <t xml:space="preserve">Q20850090</t>
  </si>
  <si>
    <t xml:space="preserve">7553350-9</t>
  </si>
  <si>
    <t xml:space="preserve">7553348-0</t>
  </si>
  <si>
    <t xml:space="preserve">Durchschlagzungeninstrumenten-Spieler:in &gt; Mundharmonikaspieler:in</t>
  </si>
  <si>
    <t xml:space="preserve">free-reed player &gt; harmonica player</t>
  </si>
  <si>
    <t xml:space="preserve">http://w3id.org/arkumu/roles/role-61</t>
  </si>
  <si>
    <t xml:space="preserve">Eigentümer:in</t>
  </si>
  <si>
    <t xml:space="preserve">Eigentümerin,Eigentümer</t>
  </si>
  <si>
    <t xml:space="preserve">proprietor</t>
  </si>
  <si>
    <t xml:space="preserve">Q12794619</t>
  </si>
  <si>
    <t xml:space="preserve">4151183-9</t>
  </si>
  <si>
    <t xml:space="preserve">7819368-0</t>
  </si>
  <si>
    <t xml:space="preserve">http://w3id.org/arkumu/roles/role-62</t>
  </si>
  <si>
    <t xml:space="preserve">Erfinder:in</t>
  </si>
  <si>
    <t xml:space="preserve">Erfinderin,Erfinder</t>
  </si>
  <si>
    <t xml:space="preserve">inventor</t>
  </si>
  <si>
    <t xml:space="preserve">Q205375</t>
  </si>
  <si>
    <t xml:space="preserve">4015222-4</t>
  </si>
  <si>
    <t xml:space="preserve">4218749-7</t>
  </si>
  <si>
    <t xml:space="preserve">http://w3id.org/arkumu/roles/role-63</t>
  </si>
  <si>
    <t xml:space="preserve">erwähnte:r Akteur:in</t>
  </si>
  <si>
    <t xml:space="preserve">erwähnte Akteurin,erwähnter Akteur</t>
  </si>
  <si>
    <t xml:space="preserve">mentioned actor</t>
  </si>
  <si>
    <t xml:space="preserve">Q123095131</t>
  </si>
  <si>
    <t xml:space="preserve">http://w3id.org/arkumu/roles/role-64</t>
  </si>
  <si>
    <t xml:space="preserve">Ethnolog:in</t>
  </si>
  <si>
    <t xml:space="preserve">Völkerkundlerin,Völkerkundler,Ethnologin,Ethnologe</t>
  </si>
  <si>
    <t xml:space="preserve">ethnologist</t>
  </si>
  <si>
    <t xml:space="preserve">Q1371378</t>
  </si>
  <si>
    <t xml:space="preserve">4153098-6</t>
  </si>
  <si>
    <t xml:space="preserve">4202034-7</t>
  </si>
  <si>
    <t xml:space="preserve">http://w3id.org/arkumu/roles/role-65</t>
  </si>
  <si>
    <t xml:space="preserve">Ethnograph:in</t>
  </si>
  <si>
    <t xml:space="preserve">Ethnographin,Ethnograph</t>
  </si>
  <si>
    <t xml:space="preserve">ethnographer</t>
  </si>
  <si>
    <t xml:space="preserve">Q12347522</t>
  </si>
  <si>
    <t xml:space="preserve">Ethnolog:in &gt; Ethnograph:in</t>
  </si>
  <si>
    <t xml:space="preserve">ethnologist &gt; ethnographer</t>
  </si>
  <si>
    <t xml:space="preserve">http://w3id.org/arkumu/roles/role-66</t>
  </si>
  <si>
    <t xml:space="preserve">Fernsehmoderator:in</t>
  </si>
  <si>
    <t xml:space="preserve">TV-Moderatorin,TV-Moderator,TV host,Fernsehmoderatorin,Fernsehmoderator</t>
  </si>
  <si>
    <t xml:space="preserve">television presenter</t>
  </si>
  <si>
    <t xml:space="preserve">Q947873</t>
  </si>
  <si>
    <t xml:space="preserve">http://w3id.org/arkumu/roles/role-67</t>
  </si>
  <si>
    <t xml:space="preserve">Filmförderung</t>
  </si>
  <si>
    <t xml:space="preserve">film funding</t>
  </si>
  <si>
    <t xml:space="preserve">Q1341445</t>
  </si>
  <si>
    <t xml:space="preserve">4017117-6</t>
  </si>
  <si>
    <t xml:space="preserve">http://w3id.org/arkumu/roles/role-68</t>
  </si>
  <si>
    <t xml:space="preserve">Filmproduzent:in</t>
  </si>
  <si>
    <t xml:space="preserve">Produzentin,Produzent,Filmproduzentin,Filmproduzent</t>
  </si>
  <si>
    <t xml:space="preserve">film producer</t>
  </si>
  <si>
    <t xml:space="preserve">Q3282637</t>
  </si>
  <si>
    <t xml:space="preserve">4324247-9</t>
  </si>
  <si>
    <t xml:space="preserve">4472639-9</t>
  </si>
  <si>
    <t xml:space="preserve">http://w3id.org/arkumu/roles/role-69</t>
  </si>
  <si>
    <t xml:space="preserve">Folkloremusiker:in</t>
  </si>
  <si>
    <t xml:space="preserve">Folkloremusikerin,Folkloremusiker</t>
  </si>
  <si>
    <t xml:space="preserve">folk musician</t>
  </si>
  <si>
    <t xml:space="preserve">Q101084010</t>
  </si>
  <si>
    <t xml:space="preserve">http://w3id.org/arkumu/roles/role-70</t>
  </si>
  <si>
    <t xml:space="preserve">Fotograf:in</t>
  </si>
  <si>
    <t xml:space="preserve">Fotografin,Fotograf</t>
  </si>
  <si>
    <t xml:space="preserve">photographer</t>
  </si>
  <si>
    <t xml:space="preserve">Q33231</t>
  </si>
  <si>
    <t xml:space="preserve">4045893-3</t>
  </si>
  <si>
    <t xml:space="preserve">4262252-9</t>
  </si>
  <si>
    <t xml:space="preserve">http://w3id.org/arkumu/roles/role-71</t>
  </si>
  <si>
    <t xml:space="preserve">Fotograf:in (Film)</t>
  </si>
  <si>
    <t xml:space="preserve">Fotografin (Film),Fotograf (Film)</t>
  </si>
  <si>
    <t xml:space="preserve">still photographer</t>
  </si>
  <si>
    <t xml:space="preserve">Q20743434</t>
  </si>
  <si>
    <t xml:space="preserve">Fotograf:in &gt; Fotograf:in (Film)</t>
  </si>
  <si>
    <t xml:space="preserve">photographer &gt; still photographer</t>
  </si>
  <si>
    <t xml:space="preserve">http://w3id.org/arkumu/roles/role-72</t>
  </si>
  <si>
    <t xml:space="preserve">Foto-Künstler:in</t>
  </si>
  <si>
    <t xml:space="preserve">Foto-Künstlerin,Foto-Künstler</t>
  </si>
  <si>
    <t xml:space="preserve">art photographer</t>
  </si>
  <si>
    <t xml:space="preserve">Q12166078</t>
  </si>
  <si>
    <t xml:space="preserve">Fotograf:in &gt; Foto-Künstler:in</t>
  </si>
  <si>
    <t xml:space="preserve">photographer &gt; art photographer</t>
  </si>
  <si>
    <t xml:space="preserve">http://w3id.org/arkumu/roles/role-73</t>
  </si>
  <si>
    <t xml:space="preserve">Gerichtsvollzieher:in</t>
  </si>
  <si>
    <t xml:space="preserve">Betreibungsbeamtin,Betreibungsbeamter,Gerichtsvollzieherin,Gerichtsvollzieher</t>
  </si>
  <si>
    <t xml:space="preserve">bailiff</t>
  </si>
  <si>
    <t xml:space="preserve">court bailiff</t>
  </si>
  <si>
    <t xml:space="preserve">Q2005653</t>
  </si>
  <si>
    <t xml:space="preserve">4020360-8</t>
  </si>
  <si>
    <t xml:space="preserve">http://w3id.org/arkumu/roles/role-74</t>
  </si>
  <si>
    <t xml:space="preserve">Gesangslehrer:in</t>
  </si>
  <si>
    <t xml:space="preserve">Gesangslehrerin,Gesangslehrer,Gesangspädagog:in,Gesangspädagogin,Gesangspädagoge</t>
  </si>
  <si>
    <t xml:space="preserve">voice teacher</t>
  </si>
  <si>
    <t xml:space="preserve">singing teacher</t>
  </si>
  <si>
    <t xml:space="preserve">Q7939609</t>
  </si>
  <si>
    <t xml:space="preserve">7628966-7</t>
  </si>
  <si>
    <t xml:space="preserve">7628964-3</t>
  </si>
  <si>
    <t xml:space="preserve">http://w3id.org/arkumu/roles/role-75</t>
  </si>
  <si>
    <t xml:space="preserve">Gewandmeister:in</t>
  </si>
  <si>
    <t xml:space="preserve">Gewandmeisterin,Gewandmeister</t>
  </si>
  <si>
    <t xml:space="preserve">wardrobe master</t>
  </si>
  <si>
    <t xml:space="preserve">wardrobe supervisor,head of wardrobe department</t>
  </si>
  <si>
    <t xml:space="preserve">Q96036333</t>
  </si>
  <si>
    <t xml:space="preserve">http://w3id.org/arkumu/roles/role-76</t>
  </si>
  <si>
    <t xml:space="preserve">Grip</t>
  </si>
  <si>
    <t xml:space="preserve"> </t>
  </si>
  <si>
    <t xml:space="preserve">grip</t>
  </si>
  <si>
    <t xml:space="preserve">Q3274496</t>
  </si>
  <si>
    <t xml:space="preserve">http://w3id.org/arkumu/roles/role-77</t>
  </si>
  <si>
    <t xml:space="preserve">Händler:in</t>
  </si>
  <si>
    <t xml:space="preserve">Kaufmann,Kauffrau,Händlerin,Händler</t>
  </si>
  <si>
    <t xml:space="preserve">trader</t>
  </si>
  <si>
    <t xml:space="preserve">dealer,merchant</t>
  </si>
  <si>
    <t xml:space="preserve">Q3704253</t>
  </si>
  <si>
    <t xml:space="preserve">4221401-4</t>
  </si>
  <si>
    <t xml:space="preserve">4158695-5</t>
  </si>
  <si>
    <t xml:space="preserve">http://w3id.org/arkumu/roles/role-78</t>
  </si>
  <si>
    <t xml:space="preserve">Autohändler:in</t>
  </si>
  <si>
    <t xml:space="preserve">Autohändlerin,Autohändler</t>
  </si>
  <si>
    <t xml:space="preserve">car dealer</t>
  </si>
  <si>
    <t xml:space="preserve">car salesperson</t>
  </si>
  <si>
    <t xml:space="preserve">Q21422876</t>
  </si>
  <si>
    <t xml:space="preserve">Händler:in &gt; Autohändler:in</t>
  </si>
  <si>
    <t xml:space="preserve">trader &gt; car dealer</t>
  </si>
  <si>
    <t xml:space="preserve">http://w3id.org/arkumu/roles/role-79</t>
  </si>
  <si>
    <t xml:space="preserve">Fahrradhändler:in</t>
  </si>
  <si>
    <t xml:space="preserve">Fahrradhändlerin,Fahrradhändler</t>
  </si>
  <si>
    <t xml:space="preserve">bicycle dealer</t>
  </si>
  <si>
    <t xml:space="preserve">Q123095338</t>
  </si>
  <si>
    <t xml:space="preserve">Händler:in &gt; Fahrradhändler:in</t>
  </si>
  <si>
    <t xml:space="preserve">trader &gt; bicycle dealer</t>
  </si>
  <si>
    <t xml:space="preserve">http://w3id.org/arkumu/roles/role-80</t>
  </si>
  <si>
    <t xml:space="preserve">Musikalienhändler:in</t>
  </si>
  <si>
    <t xml:space="preserve">Musikalienhändlerin,Musikalienhändler</t>
  </si>
  <si>
    <t xml:space="preserve">music dealer</t>
  </si>
  <si>
    <t xml:space="preserve">music merchant</t>
  </si>
  <si>
    <t xml:space="preserve">Q1955056</t>
  </si>
  <si>
    <t xml:space="preserve">Händler:in &gt; Musikalienhändler:in</t>
  </si>
  <si>
    <t xml:space="preserve">trader &gt; music dealer</t>
  </si>
  <si>
    <t xml:space="preserve">http://w3id.org/arkumu/roles/role-81</t>
  </si>
  <si>
    <t xml:space="preserve">Schreibwarenhändler:in</t>
  </si>
  <si>
    <t xml:space="preserve">Schreibwarenhändlerin,Schreibwarenhändler</t>
  </si>
  <si>
    <t xml:space="preserve">stationer</t>
  </si>
  <si>
    <t xml:space="preserve">Q24309558</t>
  </si>
  <si>
    <t xml:space="preserve">Händler:in &gt; Schreibwarenhändler:in</t>
  </si>
  <si>
    <t xml:space="preserve">trader &gt; stationer</t>
  </si>
  <si>
    <t xml:space="preserve">http://w3id.org/arkumu/roles/role-82</t>
  </si>
  <si>
    <t xml:space="preserve">Hersteller:in</t>
  </si>
  <si>
    <t xml:space="preserve">Herstellerin,Hersteller,Produzentin,Produzent</t>
  </si>
  <si>
    <t xml:space="preserve">manufacturer</t>
  </si>
  <si>
    <t xml:space="preserve">Q13235160</t>
  </si>
  <si>
    <t xml:space="preserve">4175820-1</t>
  </si>
  <si>
    <t xml:space="preserve">4465426-1</t>
  </si>
  <si>
    <t xml:space="preserve">http://w3id.org/arkumu/roles/role-83</t>
  </si>
  <si>
    <t xml:space="preserve">Historiker:in</t>
  </si>
  <si>
    <t xml:space="preserve">Historiografin,Historiograf,Geschichtswissenschaftlerin,Geschichtswissenschaftler,Geschichtsforscherin,Geschichtsforscher,Historikerin,Historiker</t>
  </si>
  <si>
    <t xml:space="preserve">historian</t>
  </si>
  <si>
    <t xml:space="preserve">Q201788</t>
  </si>
  <si>
    <t xml:space="preserve">4025098-2</t>
  </si>
  <si>
    <t xml:space="preserve">4333423-4</t>
  </si>
  <si>
    <t xml:space="preserve">http://w3id.org/arkumu/roles/role-84</t>
  </si>
  <si>
    <t xml:space="preserve">Holzbläser:in</t>
  </si>
  <si>
    <t xml:space="preserve">Holzbläserin,Holzbläser</t>
  </si>
  <si>
    <t xml:space="preserve">woodwind player</t>
  </si>
  <si>
    <t xml:space="preserve">Q25616474</t>
  </si>
  <si>
    <t xml:space="preserve">http://w3id.org/arkumu/roles/role-85</t>
  </si>
  <si>
    <t xml:space="preserve">Blockflötist:in</t>
  </si>
  <si>
    <t xml:space="preserve">Blockflötistin,Blockflötist</t>
  </si>
  <si>
    <t xml:space="preserve">recorder player</t>
  </si>
  <si>
    <t xml:space="preserve">Q3074722</t>
  </si>
  <si>
    <t xml:space="preserve">7591635-6</t>
  </si>
  <si>
    <t xml:space="preserve">7622250-0</t>
  </si>
  <si>
    <t xml:space="preserve">Holzbläser:in &gt; Blockflötist:in</t>
  </si>
  <si>
    <t xml:space="preserve">woodwind player &gt; recorder player</t>
  </si>
  <si>
    <t xml:space="preserve">http://w3id.org/arkumu/roles/role-86</t>
  </si>
  <si>
    <t xml:space="preserve">Dudelsackspieler:in</t>
  </si>
  <si>
    <t xml:space="preserve">Sackpfeifenspielerin,Sackpfeifenspieler,Dudelsackspielerin,Dudelsackspieler</t>
  </si>
  <si>
    <t xml:space="preserve">bagpiper</t>
  </si>
  <si>
    <t xml:space="preserve">Q21550382</t>
  </si>
  <si>
    <t xml:space="preserve">4387942-1</t>
  </si>
  <si>
    <t xml:space="preserve">Holzbläser:in &gt; Dudelsackspieler:in</t>
  </si>
  <si>
    <t xml:space="preserve">woodwind player &gt; bagpiper</t>
  </si>
  <si>
    <t xml:space="preserve">http://w3id.org/arkumu/roles/role-87</t>
  </si>
  <si>
    <t xml:space="preserve">Fagottist:in</t>
  </si>
  <si>
    <t xml:space="preserve">Fagottistin,Fagottist</t>
  </si>
  <si>
    <t xml:space="preserve">bassoonist</t>
  </si>
  <si>
    <t xml:space="preserve">Q12310971</t>
  </si>
  <si>
    <t xml:space="preserve">4738419-0</t>
  </si>
  <si>
    <t xml:space="preserve">7553307-8</t>
  </si>
  <si>
    <t xml:space="preserve">Holzbläser:in &gt; Fagottist:in</t>
  </si>
  <si>
    <t xml:space="preserve">woodwind player &gt; bassoonist</t>
  </si>
  <si>
    <t xml:space="preserve">http://w3id.org/arkumu/roles/role-88</t>
  </si>
  <si>
    <t xml:space="preserve">Flötist:in</t>
  </si>
  <si>
    <t xml:space="preserve">Flötistin,Flötist</t>
  </si>
  <si>
    <t xml:space="preserve">flutist</t>
  </si>
  <si>
    <t xml:space="preserve">Q12902372</t>
  </si>
  <si>
    <t xml:space="preserve">4126534-8</t>
  </si>
  <si>
    <t xml:space="preserve">7553310-8</t>
  </si>
  <si>
    <t xml:space="preserve">Holzbläser:in &gt; Flötist:in</t>
  </si>
  <si>
    <t xml:space="preserve">woodwind player &gt; flutist</t>
  </si>
  <si>
    <t xml:space="preserve">http://w3id.org/arkumu/roles/role-89</t>
  </si>
  <si>
    <t xml:space="preserve">Piccoloflötist:in</t>
  </si>
  <si>
    <t xml:space="preserve">Piccoloflötistin,Piccoloflötist</t>
  </si>
  <si>
    <t xml:space="preserve">piccolo player</t>
  </si>
  <si>
    <t xml:space="preserve">Q107888647</t>
  </si>
  <si>
    <t xml:space="preserve">Holzbläser:in &gt; Flötist:in &gt; Piccoloflötist:in</t>
  </si>
  <si>
    <t xml:space="preserve">woodwind player &gt; flutist &gt; piccolo player</t>
  </si>
  <si>
    <t xml:space="preserve">http://w3id.org/arkumu/roles/role-90</t>
  </si>
  <si>
    <t xml:space="preserve">Klarinettist:in</t>
  </si>
  <si>
    <t xml:space="preserve">Klarinettistin,Klarinettist</t>
  </si>
  <si>
    <t xml:space="preserve">clarinetist</t>
  </si>
  <si>
    <t xml:space="preserve">Q118865</t>
  </si>
  <si>
    <t xml:space="preserve">4749746-4</t>
  </si>
  <si>
    <t xml:space="preserve">7553335-2</t>
  </si>
  <si>
    <t xml:space="preserve">Holzbläser:in &gt; Klarinettist:in</t>
  </si>
  <si>
    <t xml:space="preserve">woodwind player &gt; clarinetist</t>
  </si>
  <si>
    <t xml:space="preserve">http://w3id.org/arkumu/roles/role-91</t>
  </si>
  <si>
    <t xml:space="preserve">Oboist:in</t>
  </si>
  <si>
    <t xml:space="preserve">Oboistin,Oboist</t>
  </si>
  <si>
    <t xml:space="preserve">oboist</t>
  </si>
  <si>
    <t xml:space="preserve">Q16003954</t>
  </si>
  <si>
    <t xml:space="preserve">4442748-7</t>
  </si>
  <si>
    <t xml:space="preserve">4842456-0</t>
  </si>
  <si>
    <t xml:space="preserve">Holzbläser:in &gt; Oboist:in</t>
  </si>
  <si>
    <t xml:space="preserve">woodwind player &gt; oboist</t>
  </si>
  <si>
    <t xml:space="preserve">http://w3id.org/arkumu/roles/role-92</t>
  </si>
  <si>
    <t xml:space="preserve">Saxofonist:in</t>
  </si>
  <si>
    <t xml:space="preserve">Saxofonistin,Saxofonist</t>
  </si>
  <si>
    <t xml:space="preserve">saxophonist</t>
  </si>
  <si>
    <t xml:space="preserve">Q12800682</t>
  </si>
  <si>
    <t xml:space="preserve">4179251-8</t>
  </si>
  <si>
    <t xml:space="preserve">4688165-7</t>
  </si>
  <si>
    <t xml:space="preserve">Holzbläser:in &gt; Saxofonist:in</t>
  </si>
  <si>
    <t xml:space="preserve">woodwind player &gt; saxophonist</t>
  </si>
  <si>
    <t xml:space="preserve">http://w3id.org/arkumu/roles/role-93</t>
  </si>
  <si>
    <t xml:space="preserve">Altsaxofonist:in</t>
  </si>
  <si>
    <t xml:space="preserve">Altsaxofonistin,Altsaxofonist</t>
  </si>
  <si>
    <t xml:space="preserve">alto saxophonist</t>
  </si>
  <si>
    <t xml:space="preserve">Q123095690</t>
  </si>
  <si>
    <t xml:space="preserve">Holzbläser:in &gt; Saxofonist:in &gt; Altsaxofonist:in</t>
  </si>
  <si>
    <t xml:space="preserve">woodwind player &gt; saxophonist &gt; alto saxophonist</t>
  </si>
  <si>
    <t xml:space="preserve">http://w3id.org/arkumu/roles/role-94</t>
  </si>
  <si>
    <t xml:space="preserve">Baritonsaxofonist:in</t>
  </si>
  <si>
    <t xml:space="preserve">Baritonsaxofonistin,Baritonsaxofonist</t>
  </si>
  <si>
    <t xml:space="preserve">baritone saxophonist</t>
  </si>
  <si>
    <t xml:space="preserve">Q21504965</t>
  </si>
  <si>
    <t xml:space="preserve">Holzbläser:in &gt; Saxofonist:in &gt; Baritonsaxofonist:in</t>
  </si>
  <si>
    <t xml:space="preserve">woodwind player &gt; saxophonist &gt; baritone saxophonist</t>
  </si>
  <si>
    <t xml:space="preserve">http://w3id.org/arkumu/roles/role-95</t>
  </si>
  <si>
    <t xml:space="preserve">Basssaxofonist:in</t>
  </si>
  <si>
    <t xml:space="preserve">Basssaxofonistin,Basssaxofonist</t>
  </si>
  <si>
    <t xml:space="preserve">bass saxophonist</t>
  </si>
  <si>
    <t xml:space="preserve">Q123095868</t>
  </si>
  <si>
    <t xml:space="preserve">Holzbläser:in &gt; Saxofonist:in &gt; Basssaxofonist:in</t>
  </si>
  <si>
    <t xml:space="preserve">woodwind player &gt; saxophonist &gt; bass saxophonist</t>
  </si>
  <si>
    <t xml:space="preserve">http://w3id.org/arkumu/roles/role-96</t>
  </si>
  <si>
    <t xml:space="preserve">Mezzosopran-Saxofonist:in</t>
  </si>
  <si>
    <t xml:space="preserve">Mezzosopran-Saxofonistin,Mezzosopran-Saxofonist</t>
  </si>
  <si>
    <t xml:space="preserve">mezzo-soprano saxophonist</t>
  </si>
  <si>
    <t xml:space="preserve">Q123096026</t>
  </si>
  <si>
    <t xml:space="preserve">Holzbläser:in &gt; Saxofonist:in &gt; Mezzosopran-Saxofonist:in</t>
  </si>
  <si>
    <t xml:space="preserve">woodwind player &gt; saxophonist &gt; mezzo-soprano saxophonist</t>
  </si>
  <si>
    <t xml:space="preserve">http://w3id.org/arkumu/roles/role-97</t>
  </si>
  <si>
    <t xml:space="preserve">Sopransaxofonist:in</t>
  </si>
  <si>
    <t xml:space="preserve">Sopransaxofonistin,Sopransaxofonist</t>
  </si>
  <si>
    <t xml:space="preserve">soprano saxophonist</t>
  </si>
  <si>
    <t xml:space="preserve">Q123095821</t>
  </si>
  <si>
    <t xml:space="preserve">Holzbläser:in &gt; Saxofonist:in &gt; Sopransaxofonist:in</t>
  </si>
  <si>
    <t xml:space="preserve">woodwind player &gt; saxophonist &gt; soprano saxophonist</t>
  </si>
  <si>
    <t xml:space="preserve">http://w3id.org/arkumu/roles/role-98</t>
  </si>
  <si>
    <t xml:space="preserve">Tenorsaxofonist:in</t>
  </si>
  <si>
    <t xml:space="preserve">Tenorsaxofonistin,Tenorsaxofonist</t>
  </si>
  <si>
    <t xml:space="preserve">tenor saxophonist</t>
  </si>
  <si>
    <t xml:space="preserve">Q21504960</t>
  </si>
  <si>
    <t xml:space="preserve">Holzbläser:in &gt; Saxofonist:in &gt; Tenorsaxofonist:in</t>
  </si>
  <si>
    <t xml:space="preserve">woodwind player &gt; saxophonist &gt; tenor saxophonist</t>
  </si>
  <si>
    <t xml:space="preserve">http://w3id.org/arkumu/roles/role-99</t>
  </si>
  <si>
    <t xml:space="preserve">Impressario</t>
  </si>
  <si>
    <t xml:space="preserve">impresario</t>
  </si>
  <si>
    <t xml:space="preserve">talent manager</t>
  </si>
  <si>
    <t xml:space="preserve">Q943995</t>
  </si>
  <si>
    <t xml:space="preserve">http://w3id.org/arkumu/roles/role-100</t>
  </si>
  <si>
    <t xml:space="preserve">Ingenieur:in</t>
  </si>
  <si>
    <t xml:space="preserve">Ingenieurin,Ingenieur</t>
  </si>
  <si>
    <t xml:space="preserve">engineer</t>
  </si>
  <si>
    <t xml:space="preserve">Q81096</t>
  </si>
  <si>
    <t xml:space="preserve">4026955-3</t>
  </si>
  <si>
    <t xml:space="preserve">4192847-7</t>
  </si>
  <si>
    <t xml:space="preserve">http://w3id.org/arkumu/roles/role-101</t>
  </si>
  <si>
    <t xml:space="preserve">Elektroingenieur:in</t>
  </si>
  <si>
    <t xml:space="preserve">Elektroingenieurin,Elektroingenieur</t>
  </si>
  <si>
    <t xml:space="preserve">electrical engineer</t>
  </si>
  <si>
    <t xml:space="preserve">electric engineer</t>
  </si>
  <si>
    <t xml:space="preserve">Q1326886</t>
  </si>
  <si>
    <t xml:space="preserve">4151815-9</t>
  </si>
  <si>
    <t xml:space="preserve">7627832-3</t>
  </si>
  <si>
    <t xml:space="preserve">Ingenieur:in &gt; Elektroingenieur:in</t>
  </si>
  <si>
    <t xml:space="preserve">engineer &gt; electrical engineer</t>
  </si>
  <si>
    <t xml:space="preserve">http://w3id.org/arkumu/roles/role-102</t>
  </si>
  <si>
    <t xml:space="preserve">Instrumentalist:in</t>
  </si>
  <si>
    <t xml:space="preserve">Instrumentalistin,Instrumentalist</t>
  </si>
  <si>
    <t xml:space="preserve">instrumentalist</t>
  </si>
  <si>
    <t xml:space="preserve">Q1278335</t>
  </si>
  <si>
    <t xml:space="preserve">http://w3id.org/arkumu/roles/role-103</t>
  </si>
  <si>
    <t xml:space="preserve">Intendant:in</t>
  </si>
  <si>
    <t xml:space="preserve">Künstlerische Leiterin,Künstlerischer Leiter,Intendantin,Intendant</t>
  </si>
  <si>
    <t xml:space="preserve">intendant</t>
  </si>
  <si>
    <t xml:space="preserve">artistic director</t>
  </si>
  <si>
    <t xml:space="preserve">Q60687737</t>
  </si>
  <si>
    <t xml:space="preserve">http://w3id.org/arkumu/roles/role-104</t>
  </si>
  <si>
    <t xml:space="preserve">Interpret:in</t>
  </si>
  <si>
    <t xml:space="preserve">Aufführende,Aufführender,Darstellerin,Darsteller,Interpretin,Interpret</t>
  </si>
  <si>
    <t xml:space="preserve">performing artist</t>
  </si>
  <si>
    <t xml:space="preserve">performer</t>
  </si>
  <si>
    <t xml:space="preserve">Q713200</t>
  </si>
  <si>
    <t xml:space="preserve">4162124-4</t>
  </si>
  <si>
    <t xml:space="preserve">http://w3id.org/arkumu/roles/role-105</t>
  </si>
  <si>
    <t xml:space="preserve">Journalist:in</t>
  </si>
  <si>
    <t xml:space="preserve">Journalistin,Journalist</t>
  </si>
  <si>
    <t xml:space="preserve">journalist</t>
  </si>
  <si>
    <t xml:space="preserve">Q1930187</t>
  </si>
  <si>
    <t xml:space="preserve">4028781-6</t>
  </si>
  <si>
    <t xml:space="preserve">4028786-5</t>
  </si>
  <si>
    <t xml:space="preserve">http://w3id.org/arkumu/roles/role-106</t>
  </si>
  <si>
    <t xml:space="preserve">Kulturjournalist:in</t>
  </si>
  <si>
    <t xml:space="preserve">Kulturjournalistin,Kulturjournalist</t>
  </si>
  <si>
    <t xml:space="preserve">arts journalist</t>
  </si>
  <si>
    <t xml:space="preserve">cultural journalist</t>
  </si>
  <si>
    <t xml:space="preserve">Q34037376</t>
  </si>
  <si>
    <t xml:space="preserve">Journalist:in &gt; Kulturjournalist:in</t>
  </si>
  <si>
    <t xml:space="preserve">journalist &gt; arts journalist</t>
  </si>
  <si>
    <t xml:space="preserve">http://w3id.org/arkumu/roles/role-107</t>
  </si>
  <si>
    <t xml:space="preserve">Kritiker:in</t>
  </si>
  <si>
    <t xml:space="preserve">Kritikerin,Kritiker</t>
  </si>
  <si>
    <t xml:space="preserve">critic</t>
  </si>
  <si>
    <t xml:space="preserve">Q6430706</t>
  </si>
  <si>
    <t xml:space="preserve">4165775-5</t>
  </si>
  <si>
    <t xml:space="preserve">7539326-8</t>
  </si>
  <si>
    <t xml:space="preserve">Journalist:in &gt; Kritiker:in</t>
  </si>
  <si>
    <t xml:space="preserve">journalist &gt; critic</t>
  </si>
  <si>
    <t xml:space="preserve">http://w3id.org/arkumu/roles/role-108</t>
  </si>
  <si>
    <t xml:space="preserve">Literaturkritiker:in</t>
  </si>
  <si>
    <t xml:space="preserve">Literaturkritikerin,Literaturkritiker</t>
  </si>
  <si>
    <t xml:space="preserve">literary critic</t>
  </si>
  <si>
    <t xml:space="preserve">Q4263842</t>
  </si>
  <si>
    <t xml:space="preserve">4167874-6</t>
  </si>
  <si>
    <t xml:space="preserve">4167875-8</t>
  </si>
  <si>
    <t xml:space="preserve">Journalist:in &gt; Kritiker:in &gt; Literaturkritiker:in</t>
  </si>
  <si>
    <t xml:space="preserve">journalist &gt; critic &gt; literary critic</t>
  </si>
  <si>
    <t xml:space="preserve">http://w3id.org/arkumu/roles/role-109</t>
  </si>
  <si>
    <t xml:space="preserve">Musikkritiker:in</t>
  </si>
  <si>
    <t xml:space="preserve">Musikkritikerin,Musikkritiker</t>
  </si>
  <si>
    <t xml:space="preserve">music critic</t>
  </si>
  <si>
    <t xml:space="preserve">Q1350157</t>
  </si>
  <si>
    <t xml:space="preserve">4120774-9</t>
  </si>
  <si>
    <t xml:space="preserve">7540312-2</t>
  </si>
  <si>
    <t xml:space="preserve">Journalist:in &gt; Kritiker:in &gt; Musikkritiker:in</t>
  </si>
  <si>
    <t xml:space="preserve">journalist &gt; critic &gt; music critic</t>
  </si>
  <si>
    <t xml:space="preserve">http://w3id.org/arkumu/roles/role-110</t>
  </si>
  <si>
    <t xml:space="preserve">Musikjournalist:in</t>
  </si>
  <si>
    <t xml:space="preserve">Musikjournalistin,Musikjournalist</t>
  </si>
  <si>
    <t xml:space="preserve">music journalist</t>
  </si>
  <si>
    <t xml:space="preserve">Q20669622</t>
  </si>
  <si>
    <t xml:space="preserve">7628915-1</t>
  </si>
  <si>
    <t xml:space="preserve">7628916-3</t>
  </si>
  <si>
    <t xml:space="preserve">Journalist:in &gt; Musikjournalist:in</t>
  </si>
  <si>
    <t xml:space="preserve">journalist &gt; music journalist</t>
  </si>
  <si>
    <t xml:space="preserve">http://w3id.org/arkumu/roles/role-111</t>
  </si>
  <si>
    <t xml:space="preserve">Kabarettist:in</t>
  </si>
  <si>
    <t xml:space="preserve">Kabarettistin,Kabarettist</t>
  </si>
  <si>
    <t xml:space="preserve">cabaret performer</t>
  </si>
  <si>
    <t xml:space="preserve">cabaret artist,cabaret show performer</t>
  </si>
  <si>
    <t xml:space="preserve">Q15214752</t>
  </si>
  <si>
    <t xml:space="preserve">4123477-7</t>
  </si>
  <si>
    <t xml:space="preserve">4707009-2</t>
  </si>
  <si>
    <t xml:space="preserve">http://w3id.org/arkumu/roles/role-112</t>
  </si>
  <si>
    <t xml:space="preserve">Kameraperson</t>
  </si>
  <si>
    <t xml:space="preserve">Bildgestalterin,Bildgestalter,Kamerafrau,Kameramann</t>
  </si>
  <si>
    <t xml:space="preserve">DoP,Director of Photography</t>
  </si>
  <si>
    <t xml:space="preserve">http://w3id.org/arkumu/roles/role-113</t>
  </si>
  <si>
    <t xml:space="preserve">Klinikverwalter:in</t>
  </si>
  <si>
    <t xml:space="preserve">Klinikverwalterin,Klinikverwalter</t>
  </si>
  <si>
    <t xml:space="preserve">hospital administrator</t>
  </si>
  <si>
    <t xml:space="preserve">Q3029404</t>
  </si>
  <si>
    <t xml:space="preserve">http://w3id.org/arkumu/roles/role-114</t>
  </si>
  <si>
    <t xml:space="preserve">Komiker:innenduo</t>
  </si>
  <si>
    <t xml:space="preserve">Comedy Duo</t>
  </si>
  <si>
    <t xml:space="preserve">double act</t>
  </si>
  <si>
    <t xml:space="preserve">Q1141470</t>
  </si>
  <si>
    <t xml:space="preserve">http://w3id.org/arkumu/roles/role-115</t>
  </si>
  <si>
    <t xml:space="preserve">Komponist:in</t>
  </si>
  <si>
    <t xml:space="preserve">Komposition,Komponistin,Komponist</t>
  </si>
  <si>
    <t xml:space="preserve">composer</t>
  </si>
  <si>
    <t xml:space="preserve">Q36834</t>
  </si>
  <si>
    <t xml:space="preserve">4032009-1</t>
  </si>
  <si>
    <t xml:space="preserve">4032010-8</t>
  </si>
  <si>
    <t xml:space="preserve">http://w3id.org/arkumu/roles/role-116</t>
  </si>
  <si>
    <t xml:space="preserve">Koproduzent:in</t>
  </si>
  <si>
    <t xml:space="preserve">Koproduzentin,Koproduzent</t>
  </si>
  <si>
    <t xml:space="preserve">co-producer</t>
  </si>
  <si>
    <t xml:space="preserve">Q11999333</t>
  </si>
  <si>
    <t xml:space="preserve">http://w3id.org/arkumu/roles/role-117</t>
  </si>
  <si>
    <t xml:space="preserve">Kostümbildner:in</t>
  </si>
  <si>
    <t xml:space="preserve">Kostümdesignerin,Kostümdesigner,Kostümbildnerin,Kostümbildner</t>
  </si>
  <si>
    <t xml:space="preserve">costume designer</t>
  </si>
  <si>
    <t xml:space="preserve">Q1323191</t>
  </si>
  <si>
    <t xml:space="preserve">4122242-8</t>
  </si>
  <si>
    <t xml:space="preserve">4428817-7</t>
  </si>
  <si>
    <t xml:space="preserve">http://w3id.org/arkumu/roles/role-118</t>
  </si>
  <si>
    <t xml:space="preserve">Kulturaktivist:in</t>
  </si>
  <si>
    <t xml:space="preserve">Kulturaktivistin,Kulturaktivist</t>
  </si>
  <si>
    <t xml:space="preserve">cultural activist</t>
  </si>
  <si>
    <t xml:space="preserve">Q21993562</t>
  </si>
  <si>
    <t xml:space="preserve">http://w3id.org/arkumu/roles/role-119</t>
  </si>
  <si>
    <t xml:space="preserve">Künstler:in</t>
  </si>
  <si>
    <t xml:space="preserve">Autorin,Autor,Komponistin,Komponist,Interpretin,Interpret,Bildende Künstlerin,Bildender Künstler,Medienkünstlerin,Medienkünstler,Künstlerin,Künstler</t>
  </si>
  <si>
    <t xml:space="preserve">artist</t>
  </si>
  <si>
    <t xml:space="preserve">Q483501</t>
  </si>
  <si>
    <t xml:space="preserve">4033423-5</t>
  </si>
  <si>
    <t xml:space="preserve">4033430-2</t>
  </si>
  <si>
    <t xml:space="preserve">http://w3id.org/arkumu/roles/role-120</t>
  </si>
  <si>
    <t xml:space="preserve">Karikaturist:in</t>
  </si>
  <si>
    <t xml:space="preserve">Schnellzeichnerin,Schnellzeichner,Karikaturistin,Karikaturist</t>
  </si>
  <si>
    <t xml:space="preserve">caricaturist</t>
  </si>
  <si>
    <t xml:space="preserve">Q3658608</t>
  </si>
  <si>
    <t xml:space="preserve">4232470-1</t>
  </si>
  <si>
    <t xml:space="preserve">4315151-6</t>
  </si>
  <si>
    <t xml:space="preserve">Künstler:in &gt; Karikaturist:in</t>
  </si>
  <si>
    <t xml:space="preserve">artist &gt; caricaturist</t>
  </si>
  <si>
    <t xml:space="preserve">http://w3id.org/arkumu/roles/role-121</t>
  </si>
  <si>
    <t xml:space="preserve">Maler:in</t>
  </si>
  <si>
    <t xml:space="preserve">Kunstmalerin,Kunstmaler,Malerin,Maler</t>
  </si>
  <si>
    <t xml:space="preserve">painter</t>
  </si>
  <si>
    <t xml:space="preserve">Q1028181</t>
  </si>
  <si>
    <t xml:space="preserve">4037215-7</t>
  </si>
  <si>
    <t xml:space="preserve">4037223-6</t>
  </si>
  <si>
    <t xml:space="preserve">Künstler:in &gt; Maler:in</t>
  </si>
  <si>
    <t xml:space="preserve">artist &gt; painter</t>
  </si>
  <si>
    <t xml:space="preserve">http://w3id.org/arkumu/roles/role-122</t>
  </si>
  <si>
    <t xml:space="preserve">Kunstpfeifer:in</t>
  </si>
  <si>
    <t xml:space="preserve">Kunstpfeiferin,Kunstpfeifer</t>
  </si>
  <si>
    <t xml:space="preserve">whistle artist</t>
  </si>
  <si>
    <t xml:space="preserve">oral whistler</t>
  </si>
  <si>
    <t xml:space="preserve">Q1792566</t>
  </si>
  <si>
    <t xml:space="preserve">http://w3id.org/arkumu/roles/role-123</t>
  </si>
  <si>
    <t xml:space="preserve">Kurator:in</t>
  </si>
  <si>
    <t xml:space="preserve">Kuratorin,Kurator</t>
  </si>
  <si>
    <t xml:space="preserve">curator</t>
  </si>
  <si>
    <t xml:space="preserve">Q674426</t>
  </si>
  <si>
    <t xml:space="preserve">4688848-2</t>
  </si>
  <si>
    <t xml:space="preserve">7602103-8</t>
  </si>
  <si>
    <t xml:space="preserve">http://w3id.org/arkumu/roles/role-124</t>
  </si>
  <si>
    <t xml:space="preserve">Ausstellungs-Kurator:in</t>
  </si>
  <si>
    <t xml:space="preserve">Ausstellungskuratorin,Ausstellungskurator,Ausstellungsmacherin,Ausstellungsmacher,Ausstellungs-Kuratorin,Ausstellungs-Kurator</t>
  </si>
  <si>
    <t xml:space="preserve">exhibition curator</t>
  </si>
  <si>
    <t xml:space="preserve">art curator</t>
  </si>
  <si>
    <t xml:space="preserve">Q780596</t>
  </si>
  <si>
    <t xml:space="preserve">Kurator:in &gt; Ausstellungs-Kurator:in</t>
  </si>
  <si>
    <t xml:space="preserve">curator &gt; exhibition curator</t>
  </si>
  <si>
    <t xml:space="preserve">http://w3id.org/arkumu/roles/role-125</t>
  </si>
  <si>
    <t xml:space="preserve">Lehrer:in</t>
  </si>
  <si>
    <t xml:space="preserve">Lehrkraft,Lehrerin,Lehrer</t>
  </si>
  <si>
    <t xml:space="preserve">teacher</t>
  </si>
  <si>
    <t xml:space="preserve">educator</t>
  </si>
  <si>
    <t xml:space="preserve">Q37226</t>
  </si>
  <si>
    <t xml:space="preserve">4035088-5</t>
  </si>
  <si>
    <t xml:space="preserve">4035097-6</t>
  </si>
  <si>
    <t xml:space="preserve">http://w3id.org/arkumu/roles/role-126</t>
  </si>
  <si>
    <t xml:space="preserve">Sprachlehrer:in</t>
  </si>
  <si>
    <t xml:space="preserve">Sprachlehrerin,Sprachlehrer</t>
  </si>
  <si>
    <t xml:space="preserve">Q30002353</t>
  </si>
  <si>
    <t xml:space="preserve">4182521-4</t>
  </si>
  <si>
    <t xml:space="preserve">7637407-5</t>
  </si>
  <si>
    <t xml:space="preserve">Lehrer:in &gt; Sprachlehrer:in</t>
  </si>
  <si>
    <t xml:space="preserve">teacher &gt; voice teacher</t>
  </si>
  <si>
    <t xml:space="preserve">http://w3id.org/arkumu/roles/role-127</t>
  </si>
  <si>
    <t xml:space="preserve">Englischlehrer:in</t>
  </si>
  <si>
    <t xml:space="preserve">Englischlehrerin,Englischlehrer</t>
  </si>
  <si>
    <t xml:space="preserve">english teacher</t>
  </si>
  <si>
    <t xml:space="preserve">Q101444631</t>
  </si>
  <si>
    <t xml:space="preserve">4152284-9</t>
  </si>
  <si>
    <t xml:space="preserve">4413104-5</t>
  </si>
  <si>
    <t xml:space="preserve">Lehrer:in &gt; Sprachlehrer:in &gt; Englischlehrer:in</t>
  </si>
  <si>
    <t xml:space="preserve">teacher &gt; voice teacher &gt; english teacher</t>
  </si>
  <si>
    <t xml:space="preserve">http://w3id.org/arkumu/roles/role-128</t>
  </si>
  <si>
    <t xml:space="preserve">Librettist:in</t>
  </si>
  <si>
    <t xml:space="preserve">Librettistin,Librettist</t>
  </si>
  <si>
    <t xml:space="preserve">librettist</t>
  </si>
  <si>
    <t xml:space="preserve">Q8178443</t>
  </si>
  <si>
    <t xml:space="preserve">4167564-2</t>
  </si>
  <si>
    <t xml:space="preserve">4683584-2</t>
  </si>
  <si>
    <t xml:space="preserve">http://w3id.org/arkumu/roles/role-129</t>
  </si>
  <si>
    <t xml:space="preserve">Linguist:in</t>
  </si>
  <si>
    <t xml:space="preserve">Sprachforscherin,Sprachforscher,Sprachwissenschaftlerin,Sprachwissenschaftler,Linguistin,Linguist</t>
  </si>
  <si>
    <t xml:space="preserve">linguist</t>
  </si>
  <si>
    <t xml:space="preserve">Q14467526</t>
  </si>
  <si>
    <t xml:space="preserve">4224183-2</t>
  </si>
  <si>
    <t xml:space="preserve">4362368-2</t>
  </si>
  <si>
    <t xml:space="preserve">http://w3id.org/arkumu/roles/role-130</t>
  </si>
  <si>
    <t xml:space="preserve">Romanist:in</t>
  </si>
  <si>
    <t xml:space="preserve">Romanistin,Romanist</t>
  </si>
  <si>
    <t xml:space="preserve">romanist</t>
  </si>
  <si>
    <t xml:space="preserve">romanicist</t>
  </si>
  <si>
    <t xml:space="preserve">Q2504617</t>
  </si>
  <si>
    <t xml:space="preserve">4219681-4</t>
  </si>
  <si>
    <t xml:space="preserve">7539218-5</t>
  </si>
  <si>
    <t xml:space="preserve">Linguist:in &gt; Romanist:in</t>
  </si>
  <si>
    <t xml:space="preserve">linguist &gt; romanist</t>
  </si>
  <si>
    <t xml:space="preserve">http://w3id.org/arkumu/roles/role-131</t>
  </si>
  <si>
    <t xml:space="preserve">Lokomotivführer:in</t>
  </si>
  <si>
    <t xml:space="preserve">Triebfahrzeugführerin,Triebfahrzeugführer,Lokomotivführerin,Lokomotivführer</t>
  </si>
  <si>
    <t xml:space="preserve">train driver</t>
  </si>
  <si>
    <t xml:space="preserve">engine driver,train operator</t>
  </si>
  <si>
    <t xml:space="preserve">Q2775569</t>
  </si>
  <si>
    <t xml:space="preserve">4168131-9</t>
  </si>
  <si>
    <t xml:space="preserve">http://w3id.org/arkumu/roles/role-132</t>
  </si>
  <si>
    <t xml:space="preserve">Luftfahrtpionier:in</t>
  </si>
  <si>
    <t xml:space="preserve">Luftfahrtpionierin,Luftfahrtpionier</t>
  </si>
  <si>
    <t xml:space="preserve">aviation pioneer</t>
  </si>
  <si>
    <t xml:space="preserve">Q88104927</t>
  </si>
  <si>
    <t xml:space="preserve">http://w3id.org/arkumu/roles/role-133</t>
  </si>
  <si>
    <t xml:space="preserve">Manager:in</t>
  </si>
  <si>
    <t xml:space="preserve">Managerin,Manager</t>
  </si>
  <si>
    <t xml:space="preserve">manager</t>
  </si>
  <si>
    <t xml:space="preserve">Q2462658</t>
  </si>
  <si>
    <t xml:space="preserve">http://w3id.org/arkumu/roles/role-134</t>
  </si>
  <si>
    <t xml:space="preserve">Maskenbildner:in</t>
  </si>
  <si>
    <t xml:space="preserve">Maskenbildnerin,Maskenbildner</t>
  </si>
  <si>
    <t xml:space="preserve">make-up artist </t>
  </si>
  <si>
    <t xml:space="preserve">Q935666</t>
  </si>
  <si>
    <t xml:space="preserve">4491206-7</t>
  </si>
  <si>
    <t xml:space="preserve">4739697-0</t>
  </si>
  <si>
    <t xml:space="preserve">http://w3id.org/arkumu/roles/role-135</t>
  </si>
  <si>
    <t xml:space="preserve">Maurer:in</t>
  </si>
  <si>
    <t xml:space="preserve">Maurerin,Maurer</t>
  </si>
  <si>
    <t xml:space="preserve">bricklayer</t>
  </si>
  <si>
    <t xml:space="preserve">mason</t>
  </si>
  <si>
    <t xml:space="preserve">Q327321</t>
  </si>
  <si>
    <t xml:space="preserve">4275791-5</t>
  </si>
  <si>
    <t xml:space="preserve">7539353-0</t>
  </si>
  <si>
    <t xml:space="preserve">http://w3id.org/arkumu/roles/role-136</t>
  </si>
  <si>
    <t xml:space="preserve">Medienmanager:in</t>
  </si>
  <si>
    <t xml:space="preserve">Medienmanagerin,Medienmanager</t>
  </si>
  <si>
    <t xml:space="preserve">media executive</t>
  </si>
  <si>
    <t xml:space="preserve">Q108800680</t>
  </si>
  <si>
    <t xml:space="preserve">http://w3id.org/arkumu/roles/role-137</t>
  </si>
  <si>
    <t xml:space="preserve">Mischtonmeister</t>
  </si>
  <si>
    <t xml:space="preserve">re-recording mixer</t>
  </si>
  <si>
    <t xml:space="preserve">dubbing mixer</t>
  </si>
  <si>
    <t xml:space="preserve">Q339431</t>
  </si>
  <si>
    <t xml:space="preserve">http://w3id.org/arkumu/roles/role-138</t>
  </si>
  <si>
    <t xml:space="preserve">Mitwirkende:r</t>
  </si>
  <si>
    <t xml:space="preserve">Akteurin,Akteur,Mitwirkende,Mitwirkender</t>
  </si>
  <si>
    <t xml:space="preserve">contributor</t>
  </si>
  <si>
    <t xml:space="preserve">Q24229398</t>
  </si>
  <si>
    <t xml:space="preserve">http://w3id.org/arkumu/roles/role-139</t>
  </si>
  <si>
    <t xml:space="preserve">Montage</t>
  </si>
  <si>
    <t xml:space="preserve">montage</t>
  </si>
  <si>
    <t xml:space="preserve">Q97746411</t>
  </si>
  <si>
    <t xml:space="preserve">http://w3id.org/arkumu/roles/role-140</t>
  </si>
  <si>
    <t xml:space="preserve">musikalische:r Begleiter:in</t>
  </si>
  <si>
    <t xml:space="preserve">musikalischer Begleiterin,musikalischer Begleiter</t>
  </si>
  <si>
    <t xml:space="preserve">accompanist</t>
  </si>
  <si>
    <t xml:space="preserve">Q29448653</t>
  </si>
  <si>
    <t xml:space="preserve">http://w3id.org/arkumu/roles/role-141</t>
  </si>
  <si>
    <t xml:space="preserve">Musikensemble</t>
  </si>
  <si>
    <t xml:space="preserve">Musikgruppe</t>
  </si>
  <si>
    <t xml:space="preserve">musical ensemble</t>
  </si>
  <si>
    <t xml:space="preserve">musical group</t>
  </si>
  <si>
    <t xml:space="preserve">Q2088357</t>
  </si>
  <si>
    <t xml:space="preserve">4212188-7</t>
  </si>
  <si>
    <t xml:space="preserve">http://w3id.org/arkumu/roles/role-142</t>
  </si>
  <si>
    <t xml:space="preserve">Band</t>
  </si>
  <si>
    <t xml:space="preserve">band</t>
  </si>
  <si>
    <t xml:space="preserve">Q215380</t>
  </si>
  <si>
    <t xml:space="preserve">4170827-1</t>
  </si>
  <si>
    <t xml:space="preserve">Musikensemble &gt; Band</t>
  </si>
  <si>
    <t xml:space="preserve">musical ensemble &gt; band</t>
  </si>
  <si>
    <t xml:space="preserve">http://w3id.org/arkumu/roles/role-143</t>
  </si>
  <si>
    <t xml:space="preserve">Chor</t>
  </si>
  <si>
    <t xml:space="preserve">choir</t>
  </si>
  <si>
    <t xml:space="preserve">Q131186</t>
  </si>
  <si>
    <t xml:space="preserve">4010045-5</t>
  </si>
  <si>
    <t xml:space="preserve">Musikensemble &gt; Chor</t>
  </si>
  <si>
    <t xml:space="preserve">musical ensemble &gt; choir</t>
  </si>
  <si>
    <t xml:space="preserve">http://w3id.org/arkumu/roles/role-144</t>
  </si>
  <si>
    <t xml:space="preserve">Choralschola</t>
  </si>
  <si>
    <t xml:space="preserve">scholae</t>
  </si>
  <si>
    <t xml:space="preserve">Q1076344</t>
  </si>
  <si>
    <t xml:space="preserve">Musikensemble &gt; Chor &gt; Choralschola</t>
  </si>
  <si>
    <t xml:space="preserve">musical ensemble &gt; choir &gt; scholae</t>
  </si>
  <si>
    <t xml:space="preserve">http://w3id.org/arkumu/roles/role-145</t>
  </si>
  <si>
    <t xml:space="preserve">Frauenchor</t>
  </si>
  <si>
    <t xml:space="preserve">women's choir</t>
  </si>
  <si>
    <t xml:space="preserve">Q1451652</t>
  </si>
  <si>
    <t xml:space="preserve">4310304-2</t>
  </si>
  <si>
    <t xml:space="preserve">Musikensemble &gt; Chor &gt; Frauenchor</t>
  </si>
  <si>
    <t xml:space="preserve">musical ensemble &gt; choir &gt; women's choir</t>
  </si>
  <si>
    <t xml:space="preserve">http://w3id.org/arkumu/roles/role-146</t>
  </si>
  <si>
    <t xml:space="preserve">Kinderchor</t>
  </si>
  <si>
    <t xml:space="preserve">children's choir</t>
  </si>
  <si>
    <t xml:space="preserve">Q1753063</t>
  </si>
  <si>
    <t xml:space="preserve">4163811-6</t>
  </si>
  <si>
    <t xml:space="preserve">Musikensemble &gt; Chor &gt; Kinderchor</t>
  </si>
  <si>
    <t xml:space="preserve">musical ensemble &gt; choir &gt; children's choir</t>
  </si>
  <si>
    <t xml:space="preserve">http://w3id.org/arkumu/roles/role-147</t>
  </si>
  <si>
    <t xml:space="preserve">Knabenchor</t>
  </si>
  <si>
    <t xml:space="preserve">boys' choir</t>
  </si>
  <si>
    <t xml:space="preserve">Q1776834</t>
  </si>
  <si>
    <t xml:space="preserve">4289869-9</t>
  </si>
  <si>
    <t xml:space="preserve">Musikensemble &gt; Chor &gt; Knabenchor</t>
  </si>
  <si>
    <t xml:space="preserve">musical ensemble &gt; choir &gt; boys' choir</t>
  </si>
  <si>
    <t xml:space="preserve">http://w3id.org/arkumu/roles/role-148</t>
  </si>
  <si>
    <t xml:space="preserve">Männerchor</t>
  </si>
  <si>
    <t xml:space="preserve">male choir</t>
  </si>
  <si>
    <t xml:space="preserve">Q1684352</t>
  </si>
  <si>
    <t xml:space="preserve">4168467-9</t>
  </si>
  <si>
    <t xml:space="preserve">Musikensemble &gt; Chor &gt; Männerchor</t>
  </si>
  <si>
    <t xml:space="preserve">musical ensemble &gt; choir &gt; male choir</t>
  </si>
  <si>
    <t xml:space="preserve">http://w3id.org/arkumu/roles/role-149</t>
  </si>
  <si>
    <t xml:space="preserve">Combo</t>
  </si>
  <si>
    <t xml:space="preserve">combo</t>
  </si>
  <si>
    <t xml:space="preserve">Q2985084</t>
  </si>
  <si>
    <t xml:space="preserve">Musikensemble &gt; Combo</t>
  </si>
  <si>
    <t xml:space="preserve">musical ensemble &gt; combo</t>
  </si>
  <si>
    <t xml:space="preserve">http://w3id.org/arkumu/roles/role-150</t>
  </si>
  <si>
    <t xml:space="preserve">Elektronik-Ensemble</t>
  </si>
  <si>
    <t xml:space="preserve">Elektronik-Band</t>
  </si>
  <si>
    <t xml:space="preserve">electronic band</t>
  </si>
  <si>
    <t xml:space="preserve">Q115471588</t>
  </si>
  <si>
    <t xml:space="preserve">Musikensemble &gt; Elektronik-Ensemble</t>
  </si>
  <si>
    <t xml:space="preserve">musical ensemble &gt; electronic band</t>
  </si>
  <si>
    <t xml:space="preserve">http://w3id.org/arkumu/roles/role-151</t>
  </si>
  <si>
    <t xml:space="preserve">Instrumentalgruppe</t>
  </si>
  <si>
    <t xml:space="preserve">instrumental group</t>
  </si>
  <si>
    <t xml:space="preserve">Q64596595</t>
  </si>
  <si>
    <t xml:space="preserve">Musikensemble &gt; Instrumentalgruppe</t>
  </si>
  <si>
    <t xml:space="preserve">musical ensemble &gt; instrumental group</t>
  </si>
  <si>
    <t xml:space="preserve">http://w3id.org/arkumu/roles/role-152</t>
  </si>
  <si>
    <t xml:space="preserve">Kammermusikensemble</t>
  </si>
  <si>
    <t xml:space="preserve">chamber music ensemble</t>
  </si>
  <si>
    <t xml:space="preserve">Q19191604</t>
  </si>
  <si>
    <t xml:space="preserve">Musikensemble &gt; Kammermusikensemble</t>
  </si>
  <si>
    <t xml:space="preserve">musical ensemble &gt; chamber music ensemble</t>
  </si>
  <si>
    <t xml:space="preserve">http://w3id.org/arkumu/roles/role-153</t>
  </si>
  <si>
    <t xml:space="preserve">Streichquartett</t>
  </si>
  <si>
    <t xml:space="preserve">string quartet</t>
  </si>
  <si>
    <t xml:space="preserve">Q207338</t>
  </si>
  <si>
    <t xml:space="preserve">Musikensemble &gt; Kammermusikensemble &gt; Streichquartett</t>
  </si>
  <si>
    <t xml:space="preserve">musical ensemble &gt; chamber music ensemble &gt; string quartet</t>
  </si>
  <si>
    <t xml:space="preserve">http://w3id.org/arkumu/roles/role-154</t>
  </si>
  <si>
    <t xml:space="preserve">Orchester</t>
  </si>
  <si>
    <t xml:space="preserve">orchestra</t>
  </si>
  <si>
    <t xml:space="preserve">Q42998</t>
  </si>
  <si>
    <t xml:space="preserve">4172708-3</t>
  </si>
  <si>
    <t xml:space="preserve">Musikensemble &gt; Orchester</t>
  </si>
  <si>
    <t xml:space="preserve">musical ensemble &gt; orchestra</t>
  </si>
  <si>
    <t xml:space="preserve">http://w3id.org/arkumu/roles/role-155</t>
  </si>
  <si>
    <t xml:space="preserve">Blasorchester</t>
  </si>
  <si>
    <t xml:space="preserve">wind orchestra</t>
  </si>
  <si>
    <t xml:space="preserve">band,wind band</t>
  </si>
  <si>
    <t xml:space="preserve">Q881942</t>
  </si>
  <si>
    <t xml:space="preserve">4112784-5</t>
  </si>
  <si>
    <t xml:space="preserve">Musikensemble &gt; Orchester &gt; Blasorchester</t>
  </si>
  <si>
    <t xml:space="preserve">musical ensemble &gt; orchestra &gt; wind orchestra</t>
  </si>
  <si>
    <t xml:space="preserve">http://w3id.org/arkumu/roles/role-156</t>
  </si>
  <si>
    <t xml:space="preserve">Militärorchester</t>
  </si>
  <si>
    <t xml:space="preserve">military band</t>
  </si>
  <si>
    <t xml:space="preserve">Q1078286</t>
  </si>
  <si>
    <t xml:space="preserve">Musikensemble &gt; Orchester &gt; Militärorchester</t>
  </si>
  <si>
    <t xml:space="preserve">musical ensemble &gt; orchestra &gt; military band</t>
  </si>
  <si>
    <t xml:space="preserve">http://w3id.org/arkumu/roles/role-157</t>
  </si>
  <si>
    <t xml:space="preserve">Streichorchester</t>
  </si>
  <si>
    <t xml:space="preserve">string orchestra</t>
  </si>
  <si>
    <t xml:space="preserve">Q1090674</t>
  </si>
  <si>
    <t xml:space="preserve">4183630-3</t>
  </si>
  <si>
    <t xml:space="preserve">Musikensemble &gt; Orchester &gt; Streichorchester</t>
  </si>
  <si>
    <t xml:space="preserve">musical ensemble &gt; orchestra &gt; string orchestra</t>
  </si>
  <si>
    <t xml:space="preserve">http://w3id.org/arkumu/roles/role-158</t>
  </si>
  <si>
    <t xml:space="preserve">Vokalensemble</t>
  </si>
  <si>
    <t xml:space="preserve">vocal group</t>
  </si>
  <si>
    <t xml:space="preserve">vocal ensemble</t>
  </si>
  <si>
    <t xml:space="preserve">Q120544</t>
  </si>
  <si>
    <t xml:space="preserve">4710896-4</t>
  </si>
  <si>
    <t xml:space="preserve">Musikensemble &gt; Vokalensemble</t>
  </si>
  <si>
    <t xml:space="preserve">musical ensemble &gt; vocal group</t>
  </si>
  <si>
    <t xml:space="preserve">http://w3id.org/arkumu/roles/role-159</t>
  </si>
  <si>
    <t xml:space="preserve">Volksmusikgruppe</t>
  </si>
  <si>
    <t xml:space="preserve">folk music group</t>
  </si>
  <si>
    <t xml:space="preserve">Q113292621</t>
  </si>
  <si>
    <t xml:space="preserve">4387977-9</t>
  </si>
  <si>
    <t xml:space="preserve">Musikensemble &gt; Volksmusikgruppe</t>
  </si>
  <si>
    <t xml:space="preserve">musical ensemble &gt; folk music group</t>
  </si>
  <si>
    <t xml:space="preserve">http://w3id.org/arkumu/roles/role-160</t>
  </si>
  <si>
    <t xml:space="preserve">Musiker:in</t>
  </si>
  <si>
    <t xml:space="preserve">Musikerin,Musiker</t>
  </si>
  <si>
    <t xml:space="preserve">musician</t>
  </si>
  <si>
    <t xml:space="preserve">Q639669</t>
  </si>
  <si>
    <t xml:space="preserve">4040841-3</t>
  </si>
  <si>
    <t xml:space="preserve">4170818-0</t>
  </si>
  <si>
    <t xml:space="preserve">http://w3id.org/arkumu/roles/role-161</t>
  </si>
  <si>
    <t xml:space="preserve">Musikinstrumentenbauer:in</t>
  </si>
  <si>
    <t xml:space="preserve">Instrumentenbauerin,Instrumentenbauer,Musikinstrumentenbauerin,Musikinstrumentenbauer</t>
  </si>
  <si>
    <t xml:space="preserve">instrument maker</t>
  </si>
  <si>
    <t xml:space="preserve">Q2341443</t>
  </si>
  <si>
    <t xml:space="preserve">4170830-1</t>
  </si>
  <si>
    <t xml:space="preserve">4652280-3</t>
  </si>
  <si>
    <t xml:space="preserve">http://w3id.org/arkumu/roles/role-162</t>
  </si>
  <si>
    <t xml:space="preserve">Geigenbauer:in</t>
  </si>
  <si>
    <t xml:space="preserve">Geigenbauerin,Geigenbauer</t>
  </si>
  <si>
    <t xml:space="preserve">luthier</t>
  </si>
  <si>
    <t xml:space="preserve">Q762707</t>
  </si>
  <si>
    <t xml:space="preserve">4156341-4</t>
  </si>
  <si>
    <t xml:space="preserve">4647874-7</t>
  </si>
  <si>
    <t xml:space="preserve">Musikinstrumentenbauer:in &gt; Geigenbauer:in</t>
  </si>
  <si>
    <t xml:space="preserve">instrument maker &gt; luthier</t>
  </si>
  <si>
    <t xml:space="preserve">http://w3id.org/arkumu/roles/role-163</t>
  </si>
  <si>
    <t xml:space="preserve">Klavierbauer:in</t>
  </si>
  <si>
    <t xml:space="preserve">Klavierbauerin,Klavierbauer</t>
  </si>
  <si>
    <t xml:space="preserve">piano maker</t>
  </si>
  <si>
    <t xml:space="preserve">Q885122</t>
  </si>
  <si>
    <t xml:space="preserve">Musikinstrumentenbauer:in &gt; Klavierbauer:in</t>
  </si>
  <si>
    <t xml:space="preserve">instrument maker &gt; piano maker</t>
  </si>
  <si>
    <t xml:space="preserve">http://w3id.org/arkumu/roles/role-164</t>
  </si>
  <si>
    <t xml:space="preserve">Orgelbauer:in</t>
  </si>
  <si>
    <t xml:space="preserve">Orgelbauerin,Orgelbauer</t>
  </si>
  <si>
    <t xml:space="preserve">organ builder</t>
  </si>
  <si>
    <t xml:space="preserve">Q1937431</t>
  </si>
  <si>
    <t xml:space="preserve">Musikinstrumentenbauer:in &gt; Orgelbauer:in</t>
  </si>
  <si>
    <t xml:space="preserve">instrument maker &gt; organ builder</t>
  </si>
  <si>
    <t xml:space="preserve">http://w3id.org/arkumu/roles/role-165</t>
  </si>
  <si>
    <t xml:space="preserve">Musiklehrer:in</t>
  </si>
  <si>
    <t xml:space="preserve">Musikpädagogin,Musikpädagoge,Musiklehrerin,Musiklehrer</t>
  </si>
  <si>
    <t xml:space="preserve">music teacher</t>
  </si>
  <si>
    <t xml:space="preserve">music educator,music pedagogue,music instructor</t>
  </si>
  <si>
    <t xml:space="preserve">Q2675537</t>
  </si>
  <si>
    <t xml:space="preserve">4140880-9</t>
  </si>
  <si>
    <t xml:space="preserve">4395042-5</t>
  </si>
  <si>
    <t xml:space="preserve">http://w3id.org/arkumu/roles/role-166</t>
  </si>
  <si>
    <t xml:space="preserve">Musikproduzent:in</t>
  </si>
  <si>
    <t xml:space="preserve">Produzentin,Produzent,Musikproduzentin,Musikproduzent</t>
  </si>
  <si>
    <t xml:space="preserve">music producer</t>
  </si>
  <si>
    <t xml:space="preserve">producer,record producer</t>
  </si>
  <si>
    <t xml:space="preserve">Q183945</t>
  </si>
  <si>
    <t xml:space="preserve">4572889-6</t>
  </si>
  <si>
    <t xml:space="preserve">7540311-0</t>
  </si>
  <si>
    <t xml:space="preserve">http://w3id.org/arkumu/roles/role-167</t>
  </si>
  <si>
    <t xml:space="preserve">Musikalische:r Leiter:in</t>
  </si>
  <si>
    <t xml:space="preserve">Musikalische Leiterin,Musikalischer Leiter</t>
  </si>
  <si>
    <t xml:space="preserve">musical supervisor</t>
  </si>
  <si>
    <t xml:space="preserve">Q123107245</t>
  </si>
  <si>
    <t xml:space="preserve">Musikproduzent:in &gt; Musikalische:r Leiter:in</t>
  </si>
  <si>
    <t xml:space="preserve">music producer &gt; musical supervisor</t>
  </si>
  <si>
    <t xml:space="preserve">http://w3id.org/arkumu/roles/role-168</t>
  </si>
  <si>
    <t xml:space="preserve">Sessionleiter:in</t>
  </si>
  <si>
    <t xml:space="preserve">Sessionleiterin,Sessionleiter</t>
  </si>
  <si>
    <t xml:space="preserve">session supervisor</t>
  </si>
  <si>
    <t xml:space="preserve">Q123110484</t>
  </si>
  <si>
    <t xml:space="preserve">Musikproduzent:in &gt; Sessionleiter:in</t>
  </si>
  <si>
    <t xml:space="preserve">music producer &gt; session supervisor</t>
  </si>
  <si>
    <t xml:space="preserve">http://w3id.org/arkumu/roles/role-169</t>
  </si>
  <si>
    <t xml:space="preserve">Musikwissenschaftler:in</t>
  </si>
  <si>
    <t xml:space="preserve">Musikologin,Musikologe,Musikforscherin,Musikforscher,Musikwissenschaftlerin,Musikwissenschaftler</t>
  </si>
  <si>
    <t xml:space="preserve">musicologist</t>
  </si>
  <si>
    <t xml:space="preserve">Q14915627</t>
  </si>
  <si>
    <t xml:space="preserve">4170836-2</t>
  </si>
  <si>
    <t xml:space="preserve">4648709-8</t>
  </si>
  <si>
    <t xml:space="preserve">http://w3id.org/arkumu/roles/role-170</t>
  </si>
  <si>
    <t xml:space="preserve">Obstbautechniker:in</t>
  </si>
  <si>
    <t xml:space="preserve">Obstbautechnikerin,Obstbautechniker</t>
  </si>
  <si>
    <t xml:space="preserve">orchard technician</t>
  </si>
  <si>
    <t xml:space="preserve">Q123097521</t>
  </si>
  <si>
    <t xml:space="preserve">http://w3id.org/arkumu/roles/role-171</t>
  </si>
  <si>
    <t xml:space="preserve">Offizier:in</t>
  </si>
  <si>
    <t xml:space="preserve">Offizierin,Offizier</t>
  </si>
  <si>
    <t xml:space="preserve">officer</t>
  </si>
  <si>
    <t xml:space="preserve">Q61022630</t>
  </si>
  <si>
    <t xml:space="preserve">4043375-4</t>
  </si>
  <si>
    <t xml:space="preserve">http://w3id.org/arkumu/roles/role-172</t>
  </si>
  <si>
    <t xml:space="preserve">Marineoffizier:in</t>
  </si>
  <si>
    <t xml:space="preserve">Marineoffizierin,Marineoffizier</t>
  </si>
  <si>
    <t xml:space="preserve">navy officer</t>
  </si>
  <si>
    <t xml:space="preserve">Q10669499</t>
  </si>
  <si>
    <t xml:space="preserve">4168900-8</t>
  </si>
  <si>
    <t xml:space="preserve">http://w3id.org/arkumu/roles/role-173</t>
  </si>
  <si>
    <t xml:space="preserve">Orientalist:in</t>
  </si>
  <si>
    <t xml:space="preserve">Orientalistin,Orientalist</t>
  </si>
  <si>
    <t xml:space="preserve">orientalist</t>
  </si>
  <si>
    <t xml:space="preserve">Q1731155</t>
  </si>
  <si>
    <t xml:space="preserve">4415844-0</t>
  </si>
  <si>
    <t xml:space="preserve">7533633-9</t>
  </si>
  <si>
    <t xml:space="preserve">http://w3id.org/arkumu/roles/role-174</t>
  </si>
  <si>
    <t xml:space="preserve">Ornitholog:in</t>
  </si>
  <si>
    <t xml:space="preserve">Vogelkundlerin,Vogelkundler,Ornithologin,Ornithologe</t>
  </si>
  <si>
    <t xml:space="preserve">ornithologist</t>
  </si>
  <si>
    <t xml:space="preserve">Q1225716</t>
  </si>
  <si>
    <t xml:space="preserve">4172846-4</t>
  </si>
  <si>
    <t xml:space="preserve">4564683-1</t>
  </si>
  <si>
    <t xml:space="preserve">http://w3id.org/arkumu/roles/role-175</t>
  </si>
  <si>
    <t xml:space="preserve">Pantomim:in</t>
  </si>
  <si>
    <t xml:space="preserve">Pantomimin,Pantomime</t>
  </si>
  <si>
    <t xml:space="preserve">mime</t>
  </si>
  <si>
    <t xml:space="preserve">pantomime</t>
  </si>
  <si>
    <t xml:space="preserve">Q674067</t>
  </si>
  <si>
    <t xml:space="preserve">4044493-4</t>
  </si>
  <si>
    <t xml:space="preserve">http://w3id.org/arkumu/roles/role-176</t>
  </si>
  <si>
    <t xml:space="preserve">Performer:in</t>
  </si>
  <si>
    <t xml:space="preserve">Performance-Künstlerin,Performance-Künstler,Performerin,Performer</t>
  </si>
  <si>
    <t xml:space="preserve">performance artist</t>
  </si>
  <si>
    <t xml:space="preserve">Q10774753</t>
  </si>
  <si>
    <t xml:space="preserve">7545699-0</t>
  </si>
  <si>
    <t xml:space="preserve">7545707-6</t>
  </si>
  <si>
    <t xml:space="preserve">http://w3id.org/arkumu/roles/role-177</t>
  </si>
  <si>
    <t xml:space="preserve">Perkussionist:in</t>
  </si>
  <si>
    <t xml:space="preserve">Perkussionistin,Perkussionist</t>
  </si>
  <si>
    <t xml:space="preserve">percussionist</t>
  </si>
  <si>
    <t xml:space="preserve">Q4351403</t>
  </si>
  <si>
    <t xml:space="preserve">7553353-4</t>
  </si>
  <si>
    <t xml:space="preserve">7553352-2</t>
  </si>
  <si>
    <t xml:space="preserve">http://w3id.org/arkumu/roles/role-178</t>
  </si>
  <si>
    <t xml:space="preserve">Marimbafonist:in</t>
  </si>
  <si>
    <t xml:space="preserve">Marimbafonistin,Marimbafonist</t>
  </si>
  <si>
    <t xml:space="preserve">marimba player</t>
  </si>
  <si>
    <t xml:space="preserve">Q12795793</t>
  </si>
  <si>
    <t xml:space="preserve">Perkussionist:in &gt; Marimbafonist:in</t>
  </si>
  <si>
    <t xml:space="preserve">percussionist &gt; marimba player</t>
  </si>
  <si>
    <t xml:space="preserve">http://w3id.org/arkumu/roles/role-179</t>
  </si>
  <si>
    <t xml:space="preserve">Paukist:in</t>
  </si>
  <si>
    <t xml:space="preserve">Paukistin,Paukist</t>
  </si>
  <si>
    <t xml:space="preserve">timpanist</t>
  </si>
  <si>
    <t xml:space="preserve">Q3528729</t>
  </si>
  <si>
    <t xml:space="preserve">4554341-0</t>
  </si>
  <si>
    <t xml:space="preserve">Perkussionist:in &gt; Paukist:in</t>
  </si>
  <si>
    <t xml:space="preserve">percussionist &gt; timpanist</t>
  </si>
  <si>
    <t xml:space="preserve">http://w3id.org/arkumu/roles/role-180</t>
  </si>
  <si>
    <t xml:space="preserve">Schlagzeuger:in</t>
  </si>
  <si>
    <t xml:space="preserve">Schlagzeugerin,Schlagzeuger</t>
  </si>
  <si>
    <t xml:space="preserve">drummer</t>
  </si>
  <si>
    <t xml:space="preserve">Q386854</t>
  </si>
  <si>
    <t xml:space="preserve">4338337-3</t>
  </si>
  <si>
    <t xml:space="preserve">7553273-6</t>
  </si>
  <si>
    <t xml:space="preserve">Perkussionist:in &gt; Schlagzeuger:in</t>
  </si>
  <si>
    <t xml:space="preserve">percussionist &gt; drummer</t>
  </si>
  <si>
    <t xml:space="preserve">http://w3id.org/arkumu/roles/role-181</t>
  </si>
  <si>
    <t xml:space="preserve">Vibrafonist:in</t>
  </si>
  <si>
    <t xml:space="preserve">Vibrafonistin,Vibrafonist</t>
  </si>
  <si>
    <t xml:space="preserve">vibraphone player</t>
  </si>
  <si>
    <t xml:space="preserve">Q21855974</t>
  </si>
  <si>
    <t xml:space="preserve">7553295-5</t>
  </si>
  <si>
    <t xml:space="preserve">7553294-3</t>
  </si>
  <si>
    <t xml:space="preserve">Perkussionist:in &gt; Vibrafonist:in</t>
  </si>
  <si>
    <t xml:space="preserve">percussionist &gt; vibraphone player</t>
  </si>
  <si>
    <t xml:space="preserve">http://w3id.org/arkumu/roles/role-182</t>
  </si>
  <si>
    <t xml:space="preserve">Xylofonist:in</t>
  </si>
  <si>
    <t xml:space="preserve">Xylofonistin,Xylofonist</t>
  </si>
  <si>
    <t xml:space="preserve">xylophonist</t>
  </si>
  <si>
    <t xml:space="preserve">Q66370835</t>
  </si>
  <si>
    <t xml:space="preserve">7553298-0</t>
  </si>
  <si>
    <t xml:space="preserve">7553297-9</t>
  </si>
  <si>
    <t xml:space="preserve">Perkussionist:in &gt; Xylofonist:in</t>
  </si>
  <si>
    <t xml:space="preserve">percussionist &gt; xylophonist</t>
  </si>
  <si>
    <t xml:space="preserve">http://w3id.org/arkumu/roles/role-183</t>
  </si>
  <si>
    <t xml:space="preserve">Philolog:in</t>
  </si>
  <si>
    <t xml:space="preserve">Sprachwissenschaftlerin,Sprachwissenschaftler,Philologin,Philologe</t>
  </si>
  <si>
    <t xml:space="preserve">philologist</t>
  </si>
  <si>
    <t xml:space="preserve">Q13418253</t>
  </si>
  <si>
    <t xml:space="preserve">4199236-2</t>
  </si>
  <si>
    <t xml:space="preserve">4362366-9</t>
  </si>
  <si>
    <t xml:space="preserve">http://w3id.org/arkumu/roles/role-184</t>
  </si>
  <si>
    <t xml:space="preserve">Philosoph:in</t>
  </si>
  <si>
    <t xml:space="preserve">Philosophin,Philosoph</t>
  </si>
  <si>
    <t xml:space="preserve">philosopher</t>
  </si>
  <si>
    <t xml:space="preserve">Q4964182</t>
  </si>
  <si>
    <t xml:space="preserve">4045790-4</t>
  </si>
  <si>
    <t xml:space="preserve">4174285-0</t>
  </si>
  <si>
    <t xml:space="preserve">http://w3id.org/arkumu/roles/role-185</t>
  </si>
  <si>
    <t xml:space="preserve">Physiker:in</t>
  </si>
  <si>
    <t xml:space="preserve">Physikerin,Physiker</t>
  </si>
  <si>
    <t xml:space="preserve">physicist</t>
  </si>
  <si>
    <t xml:space="preserve">Q169470</t>
  </si>
  <si>
    <t xml:space="preserve">4045968-8</t>
  </si>
  <si>
    <t xml:space="preserve">4337175-9</t>
  </si>
  <si>
    <t xml:space="preserve">http://w3id.org/arkumu/roles/role-186</t>
  </si>
  <si>
    <t xml:space="preserve">Politiker:in</t>
  </si>
  <si>
    <t xml:space="preserve">Politikerin,Politiker</t>
  </si>
  <si>
    <t xml:space="preserve">politician</t>
  </si>
  <si>
    <t xml:space="preserve">Q82955</t>
  </si>
  <si>
    <t xml:space="preserve">4046517-2</t>
  </si>
  <si>
    <t xml:space="preserve">4175019-6</t>
  </si>
  <si>
    <t xml:space="preserve">http://w3id.org/arkumu/roles/role-187</t>
  </si>
  <si>
    <t xml:space="preserve">Priester:in</t>
  </si>
  <si>
    <t xml:space="preserve">Geistliche,Geistlicher,Priesterin,Priester</t>
  </si>
  <si>
    <t xml:space="preserve">priest</t>
  </si>
  <si>
    <t xml:space="preserve">Q42603</t>
  </si>
  <si>
    <t xml:space="preserve">4047233-4</t>
  </si>
  <si>
    <t xml:space="preserve">4303385-4</t>
  </si>
  <si>
    <t xml:space="preserve">http://w3id.org/arkumu/roles/role-188</t>
  </si>
  <si>
    <t xml:space="preserve">Pfarrer:in</t>
  </si>
  <si>
    <t xml:space="preserve">Pastorin,Parson,Pastor,Pfarrerin,Pfarrer</t>
  </si>
  <si>
    <t xml:space="preserve">minister</t>
  </si>
  <si>
    <t xml:space="preserve">Q955464</t>
  </si>
  <si>
    <t xml:space="preserve">4132592-8</t>
  </si>
  <si>
    <t xml:space="preserve">4174000-2</t>
  </si>
  <si>
    <t xml:space="preserve">Priester:in &gt; Pfarrer:in</t>
  </si>
  <si>
    <t xml:space="preserve">priest &gt; minister</t>
  </si>
  <si>
    <t xml:space="preserve">http://w3id.org/arkumu/roles/role-189</t>
  </si>
  <si>
    <t xml:space="preserve">Prediger:in</t>
  </si>
  <si>
    <t xml:space="preserve">Predigerin,Prediger</t>
  </si>
  <si>
    <t xml:space="preserve">preacher</t>
  </si>
  <si>
    <t xml:space="preserve">homilist</t>
  </si>
  <si>
    <t xml:space="preserve">Q432386</t>
  </si>
  <si>
    <t xml:space="preserve">4130322-2</t>
  </si>
  <si>
    <t xml:space="preserve">4473145-0</t>
  </si>
  <si>
    <t xml:space="preserve">Priester:in &gt; Prediger:in</t>
  </si>
  <si>
    <t xml:space="preserve">priest &gt; preacher</t>
  </si>
  <si>
    <t xml:space="preserve">http://w3id.org/arkumu/roles/role-190</t>
  </si>
  <si>
    <t xml:space="preserve">Produktionsleiter:in</t>
  </si>
  <si>
    <t xml:space="preserve">Produktionsleiterin,Produktionsleiter</t>
  </si>
  <si>
    <t xml:space="preserve">supervising producer </t>
  </si>
  <si>
    <t xml:space="preserve">Q64492955</t>
  </si>
  <si>
    <t xml:space="preserve">4323666-2</t>
  </si>
  <si>
    <t xml:space="preserve">7540489-8</t>
  </si>
  <si>
    <t xml:space="preserve">supervising producer</t>
  </si>
  <si>
    <t xml:space="preserve">http://w3id.org/arkumu/roles/role-191</t>
  </si>
  <si>
    <t xml:space="preserve">Produktionsfirma</t>
  </si>
  <si>
    <t xml:space="preserve">production company</t>
  </si>
  <si>
    <t xml:space="preserve">Q11396960</t>
  </si>
  <si>
    <t xml:space="preserve">http://w3id.org/arkumu/roles/role-192</t>
  </si>
  <si>
    <t xml:space="preserve">Produzent:in</t>
  </si>
  <si>
    <t xml:space="preserve">Produzentin,Produzent</t>
  </si>
  <si>
    <t xml:space="preserve">producer</t>
  </si>
  <si>
    <t xml:space="preserve">Q47541952</t>
  </si>
  <si>
    <t xml:space="preserve">http://w3id.org/arkumu/roles/role-193</t>
  </si>
  <si>
    <t xml:space="preserve">Rechtsanwalt/Rechtsanwältin</t>
  </si>
  <si>
    <t xml:space="preserve">Rechtsanwält:in,Anwalt,Anwältin,Advokat</t>
  </si>
  <si>
    <t xml:space="preserve">lawyer</t>
  </si>
  <si>
    <t xml:space="preserve">attorney,solicitor,barrister</t>
  </si>
  <si>
    <t xml:space="preserve">Q40348</t>
  </si>
  <si>
    <t xml:space="preserve">4048755-6</t>
  </si>
  <si>
    <t xml:space="preserve">4177191-6</t>
  </si>
  <si>
    <t xml:space="preserve">http://w3id.org/arkumu/roles/role-194</t>
  </si>
  <si>
    <t xml:space="preserve">Notar:in</t>
  </si>
  <si>
    <t xml:space="preserve">Notarin,Notar</t>
  </si>
  <si>
    <t xml:space="preserve">notary</t>
  </si>
  <si>
    <t xml:space="preserve">Q189010</t>
  </si>
  <si>
    <t xml:space="preserve">4042660-9</t>
  </si>
  <si>
    <t xml:space="preserve">7634430-7</t>
  </si>
  <si>
    <t xml:space="preserve">Rechtsanwalt/Rechtsanwältin &gt; Notar:in</t>
  </si>
  <si>
    <t xml:space="preserve">lawyer &gt; notary</t>
  </si>
  <si>
    <t xml:space="preserve">http://w3id.org/arkumu/roles/role-195</t>
  </si>
  <si>
    <t xml:space="preserve">Redakteur:in</t>
  </si>
  <si>
    <t xml:space="preserve">Editorin,Editor,redaktionell Verantwortliche,redaktionell Verantwortlicher,Redakteurin,Redakteur</t>
  </si>
  <si>
    <t xml:space="preserve">editor</t>
  </si>
  <si>
    <t xml:space="preserve">Q876864</t>
  </si>
  <si>
    <t xml:space="preserve">4177294-5</t>
  </si>
  <si>
    <t xml:space="preserve">4352068-6</t>
  </si>
  <si>
    <t xml:space="preserve">http://w3id.org/arkumu/roles/role-196</t>
  </si>
  <si>
    <t xml:space="preserve">Regieassistent:in</t>
  </si>
  <si>
    <t xml:space="preserve">Regieassistentin,Regieassistent</t>
  </si>
  <si>
    <t xml:space="preserve">assistant director</t>
  </si>
  <si>
    <t xml:space="preserve">Q1757008</t>
  </si>
  <si>
    <t xml:space="preserve">4428190-0</t>
  </si>
  <si>
    <t xml:space="preserve">4428192-4</t>
  </si>
  <si>
    <t xml:space="preserve">http://w3id.org/arkumu/roles/role-197</t>
  </si>
  <si>
    <t xml:space="preserve">Regisseur:in</t>
  </si>
  <si>
    <t xml:space="preserve">Regisseurin,Regisseur</t>
  </si>
  <si>
    <t xml:space="preserve">director</t>
  </si>
  <si>
    <t xml:space="preserve">Q3455803</t>
  </si>
  <si>
    <t xml:space="preserve">4049050-6</t>
  </si>
  <si>
    <t xml:space="preserve">4281949-0</t>
  </si>
  <si>
    <t xml:space="preserve">http://w3id.org/arkumu/roles/role-198</t>
  </si>
  <si>
    <t xml:space="preserve">Requisiteur:in</t>
  </si>
  <si>
    <t xml:space="preserve">Requisiteurin,Requisiteur</t>
  </si>
  <si>
    <t xml:space="preserve">property master</t>
  </si>
  <si>
    <t xml:space="preserve">Q1430377</t>
  </si>
  <si>
    <t xml:space="preserve">4491208-0</t>
  </si>
  <si>
    <t xml:space="preserve">103180286X</t>
  </si>
  <si>
    <t xml:space="preserve">http://w3id.org/arkumu/roles/role-199</t>
  </si>
  <si>
    <t xml:space="preserve">Sänger:in</t>
  </si>
  <si>
    <t xml:space="preserve">Vokalistin,Vokalist,Sängerin,Sänger</t>
  </si>
  <si>
    <t xml:space="preserve">singer</t>
  </si>
  <si>
    <t xml:space="preserve">vocalist</t>
  </si>
  <si>
    <t xml:space="preserve">Q177220</t>
  </si>
  <si>
    <t xml:space="preserve">4124099-6</t>
  </si>
  <si>
    <t xml:space="preserve">4051246-0</t>
  </si>
  <si>
    <t xml:space="preserve">http://w3id.org/arkumu/roles/role-200</t>
  </si>
  <si>
    <t xml:space="preserve">Altist:in</t>
  </si>
  <si>
    <t xml:space="preserve">Contralto,Altistin,Altist</t>
  </si>
  <si>
    <t xml:space="preserve">alto</t>
  </si>
  <si>
    <t xml:space="preserve">Q6983813</t>
  </si>
  <si>
    <t xml:space="preserve">4367366-1</t>
  </si>
  <si>
    <t xml:space="preserve">Sänger:in &gt; Altist:in</t>
  </si>
  <si>
    <t xml:space="preserve">singer &gt; alto</t>
  </si>
  <si>
    <t xml:space="preserve">http://w3id.org/arkumu/roles/role-201</t>
  </si>
  <si>
    <t xml:space="preserve">Bariton</t>
  </si>
  <si>
    <t xml:space="preserve">baritone</t>
  </si>
  <si>
    <t xml:space="preserve">Q31687</t>
  </si>
  <si>
    <t xml:space="preserve">7553360-1</t>
  </si>
  <si>
    <t xml:space="preserve">Sänger:in &gt; Bariton</t>
  </si>
  <si>
    <t xml:space="preserve">singer &gt; baritone</t>
  </si>
  <si>
    <t xml:space="preserve">http://w3id.org/arkumu/roles/role-202</t>
  </si>
  <si>
    <t xml:space="preserve">Bassbariton</t>
  </si>
  <si>
    <t xml:space="preserve">bass-baritone</t>
  </si>
  <si>
    <t xml:space="preserve">Q810480</t>
  </si>
  <si>
    <t xml:space="preserve">7628958-8</t>
  </si>
  <si>
    <t xml:space="preserve">Sänger:in &gt; Bassbariton</t>
  </si>
  <si>
    <t xml:space="preserve">singer &gt; bass-baritone</t>
  </si>
  <si>
    <t xml:space="preserve">http://w3id.org/arkumu/roles/role-203</t>
  </si>
  <si>
    <t xml:space="preserve">Bassist (Gesang)</t>
  </si>
  <si>
    <t xml:space="preserve">bassist (singer)</t>
  </si>
  <si>
    <t xml:space="preserve">bass singer</t>
  </si>
  <si>
    <t xml:space="preserve">Q98834013</t>
  </si>
  <si>
    <t xml:space="preserve">4362006-1</t>
  </si>
  <si>
    <t xml:space="preserve">Sänger:in &gt; Bassist (Gesang)</t>
  </si>
  <si>
    <t xml:space="preserve">singer &gt; bassist (singer)</t>
  </si>
  <si>
    <t xml:space="preserve">http://w3id.org/arkumu/roles/role-204</t>
  </si>
  <si>
    <t xml:space="preserve">Chorsänger:in</t>
  </si>
  <si>
    <t xml:space="preserve">Chorsängerin,Chorsänger</t>
  </si>
  <si>
    <t xml:space="preserve">chorister</t>
  </si>
  <si>
    <t xml:space="preserve">Q84206977</t>
  </si>
  <si>
    <t xml:space="preserve">4265388-5</t>
  </si>
  <si>
    <t xml:space="preserve">4701423-4</t>
  </si>
  <si>
    <t xml:space="preserve">Sänger:in &gt; Chorsänger:in</t>
  </si>
  <si>
    <t xml:space="preserve">singer &gt; chorister</t>
  </si>
  <si>
    <t xml:space="preserve">http://w3id.org/arkumu/roles/role-205</t>
  </si>
  <si>
    <t xml:space="preserve">Countertenor</t>
  </si>
  <si>
    <t xml:space="preserve">countertenor</t>
  </si>
  <si>
    <t xml:space="preserve">Q223166</t>
  </si>
  <si>
    <t xml:space="preserve">4710155-6</t>
  </si>
  <si>
    <t xml:space="preserve">Sänger:in &gt; Countertenor</t>
  </si>
  <si>
    <t xml:space="preserve">singer &gt; countertenor</t>
  </si>
  <si>
    <t xml:space="preserve">http://w3id.org/arkumu/roles/role-206</t>
  </si>
  <si>
    <t xml:space="preserve">Kastrat</t>
  </si>
  <si>
    <t xml:space="preserve">castrato</t>
  </si>
  <si>
    <t xml:space="preserve">Q210970</t>
  </si>
  <si>
    <t xml:space="preserve">4163406-8</t>
  </si>
  <si>
    <t xml:space="preserve">Sänger:in &gt; Kastrat</t>
  </si>
  <si>
    <t xml:space="preserve">singer &gt; castrato</t>
  </si>
  <si>
    <t xml:space="preserve">http://w3id.org/arkumu/roles/role-207</t>
  </si>
  <si>
    <t xml:space="preserve">Kantor:in (jüdisch)</t>
  </si>
  <si>
    <t xml:space="preserve">Chasan,Vorbeter,Kantorin (jüdisch),Kantor (jüdisch)</t>
  </si>
  <si>
    <t xml:space="preserve">hazzan</t>
  </si>
  <si>
    <t xml:space="preserve">Q1067977</t>
  </si>
  <si>
    <t xml:space="preserve">4323418-5</t>
  </si>
  <si>
    <t xml:space="preserve">Sänger:in &gt; Kantor:in (jüdisch)</t>
  </si>
  <si>
    <t xml:space="preserve">singer &gt; hazzan</t>
  </si>
  <si>
    <t xml:space="preserve">http://w3id.org/arkumu/roles/role-208</t>
  </si>
  <si>
    <t xml:space="preserve">Knabenalt</t>
  </si>
  <si>
    <t xml:space="preserve">boy alto</t>
  </si>
  <si>
    <t xml:space="preserve">Q53395277</t>
  </si>
  <si>
    <t xml:space="preserve">Sänger:in &gt; Knabenalt</t>
  </si>
  <si>
    <t xml:space="preserve">singer &gt; boy alto</t>
  </si>
  <si>
    <t xml:space="preserve">http://w3id.org/arkumu/roles/role-209</t>
  </si>
  <si>
    <t xml:space="preserve">Knabensopran</t>
  </si>
  <si>
    <t xml:space="preserve">boy soprano</t>
  </si>
  <si>
    <t xml:space="preserve">Q1376492</t>
  </si>
  <si>
    <t xml:space="preserve">Sänger:in &gt; Knabensopran</t>
  </si>
  <si>
    <t xml:space="preserve">singer &gt; boy soprano</t>
  </si>
  <si>
    <t xml:space="preserve">http://w3id.org/arkumu/roles/role-210</t>
  </si>
  <si>
    <t xml:space="preserve">Mezzosopranist:in</t>
  </si>
  <si>
    <t xml:space="preserve">Mezzosopranistin,Mezzosopranist</t>
  </si>
  <si>
    <t xml:space="preserve">mezzo-soprano</t>
  </si>
  <si>
    <t xml:space="preserve">Q108404711</t>
  </si>
  <si>
    <t xml:space="preserve">4874092-5</t>
  </si>
  <si>
    <t xml:space="preserve">Sänger:in &gt; Mezzosopranist:in</t>
  </si>
  <si>
    <t xml:space="preserve">singer &gt; mezzo-soprano</t>
  </si>
  <si>
    <t xml:space="preserve">http://w3id.org/arkumu/roles/role-211</t>
  </si>
  <si>
    <t xml:space="preserve">Sopranist:in</t>
  </si>
  <si>
    <t xml:space="preserve">Sopranistin,Sopranist</t>
  </si>
  <si>
    <t xml:space="preserve">soprano</t>
  </si>
  <si>
    <t xml:space="preserve">Q98834068</t>
  </si>
  <si>
    <t xml:space="preserve">7553309-1</t>
  </si>
  <si>
    <t xml:space="preserve">4367362-4</t>
  </si>
  <si>
    <t xml:space="preserve">Sänger:in &gt; Sopranist:in</t>
  </si>
  <si>
    <t xml:space="preserve">singer &gt; soprano</t>
  </si>
  <si>
    <t xml:space="preserve">http://w3id.org/arkumu/roles/role-212</t>
  </si>
  <si>
    <t xml:space="preserve">Tenorist:in</t>
  </si>
  <si>
    <t xml:space="preserve">Tenoristin,Tenorist</t>
  </si>
  <si>
    <t xml:space="preserve">tenor</t>
  </si>
  <si>
    <t xml:space="preserve">Q98834046</t>
  </si>
  <si>
    <t xml:space="preserve">4605819-9</t>
  </si>
  <si>
    <t xml:space="preserve">Sänger:in &gt; Tenorist:in</t>
  </si>
  <si>
    <t xml:space="preserve">singer &gt; tenor</t>
  </si>
  <si>
    <t xml:space="preserve">http://w3id.org/arkumu/roles/role-213</t>
  </si>
  <si>
    <t xml:space="preserve">Schauspieler:in</t>
  </si>
  <si>
    <t xml:space="preserve">Schauspielerin,Schauspieler</t>
  </si>
  <si>
    <t xml:space="preserve">actor/actress</t>
  </si>
  <si>
    <t xml:space="preserve">Q33999</t>
  </si>
  <si>
    <t xml:space="preserve">4052154-0</t>
  </si>
  <si>
    <t xml:space="preserve">4153179-6</t>
  </si>
  <si>
    <t xml:space="preserve">http://w3id.org/arkumu/roles/role-214</t>
  </si>
  <si>
    <t xml:space="preserve">Schlosser:in</t>
  </si>
  <si>
    <t xml:space="preserve">Schlosserin,Schlosser</t>
  </si>
  <si>
    <t xml:space="preserve">locksmith</t>
  </si>
  <si>
    <t xml:space="preserve">Q3479990</t>
  </si>
  <si>
    <t xml:space="preserve">4128287-5</t>
  </si>
  <si>
    <t xml:space="preserve">7539121-1</t>
  </si>
  <si>
    <t xml:space="preserve">http://w3id.org/arkumu/roles/role-215</t>
  </si>
  <si>
    <t xml:space="preserve">Schnitt</t>
  </si>
  <si>
    <t xml:space="preserve">film editor</t>
  </si>
  <si>
    <t xml:space="preserve">bugle</t>
  </si>
  <si>
    <t xml:space="preserve">Q7042855</t>
  </si>
  <si>
    <t xml:space="preserve">4274581-0</t>
  </si>
  <si>
    <t xml:space="preserve">4287610-2</t>
  </si>
  <si>
    <t xml:space="preserve">http://w3id.org/arkumu/roles/role-216</t>
  </si>
  <si>
    <t xml:space="preserve">Script Continuity</t>
  </si>
  <si>
    <t xml:space="preserve">script supervisor</t>
  </si>
  <si>
    <t xml:space="preserve">Q1263187</t>
  </si>
  <si>
    <t xml:space="preserve">http://w3id.org/arkumu/roles/role-217</t>
  </si>
  <si>
    <t xml:space="preserve">Sekretär:in</t>
  </si>
  <si>
    <t xml:space="preserve">Sekretärin,Sekretär</t>
  </si>
  <si>
    <t xml:space="preserve">secretary</t>
  </si>
  <si>
    <t xml:space="preserve">personal assistant</t>
  </si>
  <si>
    <t xml:space="preserve">Q80687</t>
  </si>
  <si>
    <t xml:space="preserve">4116469-6</t>
  </si>
  <si>
    <t xml:space="preserve">4054353-5</t>
  </si>
  <si>
    <t xml:space="preserve">http://w3id.org/arkumu/roles/role-218</t>
  </si>
  <si>
    <t xml:space="preserve">Set Designer:in</t>
  </si>
  <si>
    <t xml:space="preserve">Bühnenbild,Set Designerin,Set Designer</t>
  </si>
  <si>
    <t xml:space="preserve">set designer</t>
  </si>
  <si>
    <t xml:space="preserve">scenic design</t>
  </si>
  <si>
    <t xml:space="preserve">Q987061</t>
  </si>
  <si>
    <t xml:space="preserve">http://w3id.org/arkumu/roles/role-219</t>
  </si>
  <si>
    <t xml:space="preserve">Soldat:in</t>
  </si>
  <si>
    <t xml:space="preserve">Soldatin,Soldat</t>
  </si>
  <si>
    <t xml:space="preserve">soldier</t>
  </si>
  <si>
    <t xml:space="preserve">Q4991371</t>
  </si>
  <si>
    <t xml:space="preserve">4055409-0</t>
  </si>
  <si>
    <t xml:space="preserve">4181751-5</t>
  </si>
  <si>
    <t xml:space="preserve">http://w3id.org/arkumu/roles/role-220</t>
  </si>
  <si>
    <t xml:space="preserve">Sounddesigner:in</t>
  </si>
  <si>
    <t xml:space="preserve">Sounddesignerin,Sounddesigner</t>
  </si>
  <si>
    <t xml:space="preserve">sound designer</t>
  </si>
  <si>
    <t xml:space="preserve">Q1937950</t>
  </si>
  <si>
    <t xml:space="preserve">7693207-2</t>
  </si>
  <si>
    <t xml:space="preserve">http://w3id.org/arkumu/roles/role-221</t>
  </si>
  <si>
    <t xml:space="preserve">Special Effects</t>
  </si>
  <si>
    <t xml:space="preserve">special effects</t>
  </si>
  <si>
    <t xml:space="preserve">Q381243</t>
  </si>
  <si>
    <t xml:space="preserve">http://w3id.org/arkumu/roles/role-222</t>
  </si>
  <si>
    <t xml:space="preserve">Sponsor:in</t>
  </si>
  <si>
    <t xml:space="preserve">Sponsorin,Sponsor</t>
  </si>
  <si>
    <t xml:space="preserve">sponsor</t>
  </si>
  <si>
    <t xml:space="preserve">Q152478</t>
  </si>
  <si>
    <t xml:space="preserve">http://w3id.org/arkumu/roles/role-223</t>
  </si>
  <si>
    <t xml:space="preserve">Sprecher:in</t>
  </si>
  <si>
    <t xml:space="preserve">Sprecherin,Sprecher</t>
  </si>
  <si>
    <t xml:space="preserve">speaker</t>
  </si>
  <si>
    <t xml:space="preserve">Q106875005</t>
  </si>
  <si>
    <t xml:space="preserve">4182545-7</t>
  </si>
  <si>
    <t xml:space="preserve">7519889-7</t>
  </si>
  <si>
    <t xml:space="preserve">http://w3id.org/arkumu/roles/role-224</t>
  </si>
  <si>
    <t xml:space="preserve">Ansager:in</t>
  </si>
  <si>
    <t xml:space="preserve">Ansagerin,Ansager</t>
  </si>
  <si>
    <t xml:space="preserve">announcer</t>
  </si>
  <si>
    <t xml:space="preserve">Q1371925</t>
  </si>
  <si>
    <t xml:space="preserve">Sprecher:in &gt; Ansager:in</t>
  </si>
  <si>
    <t xml:space="preserve">speaker &gt; announcer</t>
  </si>
  <si>
    <t xml:space="preserve">http://w3id.org/arkumu/roles/role-225</t>
  </si>
  <si>
    <t xml:space="preserve">Rezitator:in</t>
  </si>
  <si>
    <t xml:space="preserve">Rezitatorin,Rezitator</t>
  </si>
  <si>
    <t xml:space="preserve">reciter</t>
  </si>
  <si>
    <t xml:space="preserve">Q23037330</t>
  </si>
  <si>
    <t xml:space="preserve">Sprecher:in &gt; Rezitator:in</t>
  </si>
  <si>
    <t xml:space="preserve">speaker &gt; reciter</t>
  </si>
  <si>
    <t xml:space="preserve">http://w3id.org/arkumu/roles/role-226</t>
  </si>
  <si>
    <t xml:space="preserve">Streicher:in</t>
  </si>
  <si>
    <t xml:space="preserve">Streicherin,Streicher</t>
  </si>
  <si>
    <t xml:space="preserve">string player</t>
  </si>
  <si>
    <t xml:space="preserve">Q13138067</t>
  </si>
  <si>
    <t xml:space="preserve">http://w3id.org/arkumu/roles/role-227</t>
  </si>
  <si>
    <t xml:space="preserve">Bratschist:in</t>
  </si>
  <si>
    <t xml:space="preserve">Bratschistin,Bratschist</t>
  </si>
  <si>
    <t xml:space="preserve">violist</t>
  </si>
  <si>
    <t xml:space="preserve">viola player</t>
  </si>
  <si>
    <t xml:space="preserve">Q899758</t>
  </si>
  <si>
    <t xml:space="preserve">4398810-6</t>
  </si>
  <si>
    <t xml:space="preserve">7553282-7</t>
  </si>
  <si>
    <t xml:space="preserve">Streicher:in &gt; Bratschist:in</t>
  </si>
  <si>
    <t xml:space="preserve">string player &gt; violist</t>
  </si>
  <si>
    <t xml:space="preserve">http://w3id.org/arkumu/roles/role-228</t>
  </si>
  <si>
    <t xml:space="preserve">Cellist:in</t>
  </si>
  <si>
    <t xml:space="preserve">Violoncellistin,Cellistin,Cellist</t>
  </si>
  <si>
    <t xml:space="preserve">cellist</t>
  </si>
  <si>
    <t xml:space="preserve">Q13219637</t>
  </si>
  <si>
    <t xml:space="preserve">4188376-7</t>
  </si>
  <si>
    <t xml:space="preserve">4592714-5</t>
  </si>
  <si>
    <t xml:space="preserve">Streicher:in &gt; Cellist:in</t>
  </si>
  <si>
    <t xml:space="preserve">string player &gt; cellist</t>
  </si>
  <si>
    <t xml:space="preserve">http://w3id.org/arkumu/roles/role-229</t>
  </si>
  <si>
    <t xml:space="preserve">Gambist:in</t>
  </si>
  <si>
    <t xml:space="preserve">Gambistin,Gambist</t>
  </si>
  <si>
    <t xml:space="preserve">viol player</t>
  </si>
  <si>
    <t xml:space="preserve">gamba player</t>
  </si>
  <si>
    <t xml:space="preserve">Q19760296</t>
  </si>
  <si>
    <t xml:space="preserve">7577206-1</t>
  </si>
  <si>
    <t xml:space="preserve">7577207-3</t>
  </si>
  <si>
    <t xml:space="preserve">Streicher:in &gt; Gambist:in</t>
  </si>
  <si>
    <t xml:space="preserve">string player &gt; viol player</t>
  </si>
  <si>
    <t xml:space="preserve">http://w3id.org/arkumu/roles/role-230</t>
  </si>
  <si>
    <t xml:space="preserve">Kontrabassist:in</t>
  </si>
  <si>
    <t xml:space="preserve">Kontrabassistin,Kontrabassist</t>
  </si>
  <si>
    <t xml:space="preserve">double bassist</t>
  </si>
  <si>
    <t xml:space="preserve">Q1214796</t>
  </si>
  <si>
    <t xml:space="preserve">7553337-6</t>
  </si>
  <si>
    <t xml:space="preserve">7553336-4</t>
  </si>
  <si>
    <t xml:space="preserve">Streicher:in &gt; Kontrabassist:in</t>
  </si>
  <si>
    <t xml:space="preserve">string player &gt; double bassist</t>
  </si>
  <si>
    <t xml:space="preserve">http://w3id.org/arkumu/roles/role-231</t>
  </si>
  <si>
    <t xml:space="preserve">Violinist:in</t>
  </si>
  <si>
    <t xml:space="preserve">Geigerin,Geiger,Violinistin,Violinist</t>
  </si>
  <si>
    <t xml:space="preserve">violinist</t>
  </si>
  <si>
    <t xml:space="preserve">Q1259917</t>
  </si>
  <si>
    <t xml:space="preserve">4156342-6</t>
  </si>
  <si>
    <t xml:space="preserve">4334809-9</t>
  </si>
  <si>
    <t xml:space="preserve">Streicher:in &gt; Violinist:in</t>
  </si>
  <si>
    <t xml:space="preserve">string player &gt; violinist</t>
  </si>
  <si>
    <t xml:space="preserve">http://w3id.org/arkumu/roles/role-232</t>
  </si>
  <si>
    <t xml:space="preserve">Student:in</t>
  </si>
  <si>
    <t xml:space="preserve">Studentin,Student</t>
  </si>
  <si>
    <t xml:space="preserve">student</t>
  </si>
  <si>
    <t xml:space="preserve">college students,university students</t>
  </si>
  <si>
    <t xml:space="preserve">Q48282</t>
  </si>
  <si>
    <t xml:space="preserve">4058167-6</t>
  </si>
  <si>
    <t xml:space="preserve">4138764-8</t>
  </si>
  <si>
    <t xml:space="preserve">http://w3id.org/arkumu/roles/role-233</t>
  </si>
  <si>
    <t xml:space="preserve">Synchronsprecher:in</t>
  </si>
  <si>
    <t xml:space="preserve">Synchronsprecherin,Synchronsprecher</t>
  </si>
  <si>
    <t xml:space="preserve">dub actor</t>
  </si>
  <si>
    <t xml:space="preserve">dub actress,voice dubber</t>
  </si>
  <si>
    <t xml:space="preserve">Q11481802</t>
  </si>
  <si>
    <t xml:space="preserve">7627204-7</t>
  </si>
  <si>
    <t xml:space="preserve">7627205-9</t>
  </si>
  <si>
    <t xml:space="preserve">http://w3id.org/arkumu/roles/role-234</t>
  </si>
  <si>
    <t xml:space="preserve">Synchronregie</t>
  </si>
  <si>
    <t xml:space="preserve">Dialogregisseurin,Dialogregisseur</t>
  </si>
  <si>
    <t xml:space="preserve">dialog director</t>
  </si>
  <si>
    <t xml:space="preserve">dialogue director</t>
  </si>
  <si>
    <t xml:space="preserve">Q1208493</t>
  </si>
  <si>
    <t xml:space="preserve">104278826X</t>
  </si>
  <si>
    <t xml:space="preserve">http://w3id.org/arkumu/roles/role-235</t>
  </si>
  <si>
    <t xml:space="preserve">Szenenbildner:in</t>
  </si>
  <si>
    <t xml:space="preserve">Szenenbildnerin,Szenenbildner</t>
  </si>
  <si>
    <t xml:space="preserve">set designer/production designer</t>
  </si>
  <si>
    <t xml:space="preserve">Q2962070</t>
  </si>
  <si>
    <t xml:space="preserve">http://w3id.org/arkumu/roles/role-236</t>
  </si>
  <si>
    <t xml:space="preserve">Tänzer:in</t>
  </si>
  <si>
    <t xml:space="preserve">Tänzerin,Tänzer</t>
  </si>
  <si>
    <t xml:space="preserve">dancer</t>
  </si>
  <si>
    <t xml:space="preserve">Q5716684</t>
  </si>
  <si>
    <t xml:space="preserve">4136608-6</t>
  </si>
  <si>
    <t xml:space="preserve">4207110-0</t>
  </si>
  <si>
    <t xml:space="preserve">http://w3id.org/arkumu/roles/role-237</t>
  </si>
  <si>
    <t xml:space="preserve">Klavierist:in</t>
  </si>
  <si>
    <t xml:space="preserve">Tasteninstrumentenspielerin,Tasteninstrumentenspieler,Klavieristin,Klavierist</t>
  </si>
  <si>
    <t xml:space="preserve">clavierist</t>
  </si>
  <si>
    <t xml:space="preserve">keyboardist</t>
  </si>
  <si>
    <t xml:space="preserve">Q123110557</t>
  </si>
  <si>
    <t xml:space="preserve">http://w3id.org/arkumu/roles/role-238</t>
  </si>
  <si>
    <t xml:space="preserve">Cembalist:in</t>
  </si>
  <si>
    <t xml:space="preserve">Cembalistin,Cembalist</t>
  </si>
  <si>
    <t xml:space="preserve">harpsichordist</t>
  </si>
  <si>
    <t xml:space="preserve">Q5371902</t>
  </si>
  <si>
    <t xml:space="preserve">4776368-1</t>
  </si>
  <si>
    <t xml:space="preserve">7553293-1</t>
  </si>
  <si>
    <t xml:space="preserve">Klavierist:in &gt; Cembalist:in</t>
  </si>
  <si>
    <t xml:space="preserve">clavierist &gt; harpsichordist</t>
  </si>
  <si>
    <t xml:space="preserve">http://w3id.org/arkumu/roles/role-239</t>
  </si>
  <si>
    <t xml:space="preserve">Harmoniumspieler:in</t>
  </si>
  <si>
    <t xml:space="preserve">Harmoniumspielerin,Harmoniumspieler</t>
  </si>
  <si>
    <t xml:space="preserve">harmonium player</t>
  </si>
  <si>
    <t xml:space="preserve">Q54844699</t>
  </si>
  <si>
    <t xml:space="preserve">7553330-3</t>
  </si>
  <si>
    <t xml:space="preserve">7553329-7</t>
  </si>
  <si>
    <t xml:space="preserve">Klavierist:in &gt; Harmoniumspieler:in</t>
  </si>
  <si>
    <t xml:space="preserve">clavierist &gt; harmonium player</t>
  </si>
  <si>
    <t xml:space="preserve">http://w3id.org/arkumu/roles/role-240</t>
  </si>
  <si>
    <t xml:space="preserve">Keyboarder:in</t>
  </si>
  <si>
    <t xml:space="preserve">Keyboarderin,Keyboarder</t>
  </si>
  <si>
    <t xml:space="preserve">keyboarder</t>
  </si>
  <si>
    <t xml:space="preserve">Q1075651</t>
  </si>
  <si>
    <t xml:space="preserve">Klavierist:in &gt; Keyboarder:in</t>
  </si>
  <si>
    <t xml:space="preserve">clavierist &gt; keyboarder</t>
  </si>
  <si>
    <t xml:space="preserve">http://w3id.org/arkumu/roles/role-241</t>
  </si>
  <si>
    <t xml:space="preserve">Organist:in</t>
  </si>
  <si>
    <t xml:space="preserve">Organistin,Organist</t>
  </si>
  <si>
    <t xml:space="preserve">organist</t>
  </si>
  <si>
    <t xml:space="preserve">Q765778</t>
  </si>
  <si>
    <t xml:space="preserve">4172793-9</t>
  </si>
  <si>
    <t xml:space="preserve">7553351-0</t>
  </si>
  <si>
    <t xml:space="preserve">Klavierist:in &gt; Organist:in</t>
  </si>
  <si>
    <t xml:space="preserve">clavierist &gt; organist</t>
  </si>
  <si>
    <t xml:space="preserve">http://w3id.org/arkumu/roles/role-242</t>
  </si>
  <si>
    <t xml:space="preserve">Pianist:in</t>
  </si>
  <si>
    <t xml:space="preserve">Pianistin,Pianist</t>
  </si>
  <si>
    <t xml:space="preserve">pianist</t>
  </si>
  <si>
    <t xml:space="preserve">Q486748</t>
  </si>
  <si>
    <t xml:space="preserve">4131406-2</t>
  </si>
  <si>
    <t xml:space="preserve">4426550-5</t>
  </si>
  <si>
    <t xml:space="preserve">Klavierist:in &gt; Pianist:in</t>
  </si>
  <si>
    <t xml:space="preserve">clavierist &gt; pianist</t>
  </si>
  <si>
    <t xml:space="preserve">http://w3id.org/arkumu/roles/role-243</t>
  </si>
  <si>
    <t xml:space="preserve">Pianolist:in</t>
  </si>
  <si>
    <t xml:space="preserve">Pianolistin,Pianolist</t>
  </si>
  <si>
    <t xml:space="preserve">pianolist</t>
  </si>
  <si>
    <t xml:space="preserve">Q1733058</t>
  </si>
  <si>
    <t xml:space="preserve">Klavierist:in &gt; Pianolist:in</t>
  </si>
  <si>
    <t xml:space="preserve">clavierist &gt; pianolist</t>
  </si>
  <si>
    <t xml:space="preserve">http://w3id.org/arkumu/roles/role-244</t>
  </si>
  <si>
    <t xml:space="preserve">Techniker:in</t>
  </si>
  <si>
    <t xml:space="preserve">Technikerin,Techniker</t>
  </si>
  <si>
    <t xml:space="preserve">technician</t>
  </si>
  <si>
    <t xml:space="preserve">Q5352191</t>
  </si>
  <si>
    <t xml:space="preserve">4138289-4</t>
  </si>
  <si>
    <t xml:space="preserve">4278765-8</t>
  </si>
  <si>
    <t xml:space="preserve">http://w3id.org/arkumu/roles/role-245</t>
  </si>
  <si>
    <t xml:space="preserve">Elektroniker:in</t>
  </si>
  <si>
    <t xml:space="preserve">Elektronikerin,Elektroniker</t>
  </si>
  <si>
    <t xml:space="preserve">electronic technician</t>
  </si>
  <si>
    <t xml:space="preserve">electronic engineer</t>
  </si>
  <si>
    <t xml:space="preserve">Q1327130</t>
  </si>
  <si>
    <t xml:space="preserve">4132436-5</t>
  </si>
  <si>
    <t xml:space="preserve">7626343-5</t>
  </si>
  <si>
    <t xml:space="preserve">Techniker:in &gt; Elektroniker:in</t>
  </si>
  <si>
    <t xml:space="preserve">technician &gt; electronic technician</t>
  </si>
  <si>
    <t xml:space="preserve">http://w3id.org/arkumu/roles/role-246</t>
  </si>
  <si>
    <t xml:space="preserve">Elektrotechniker:in</t>
  </si>
  <si>
    <t xml:space="preserve">Elektrotechnikerin,Elektrotechniker</t>
  </si>
  <si>
    <t xml:space="preserve">electrotechnician</t>
  </si>
  <si>
    <t xml:space="preserve">Q1327627</t>
  </si>
  <si>
    <t xml:space="preserve">4131091-3</t>
  </si>
  <si>
    <t xml:space="preserve">Techniker:in &gt; Elektrotechniker:in</t>
  </si>
  <si>
    <t xml:space="preserve">technician &gt; electrotechnician</t>
  </si>
  <si>
    <t xml:space="preserve">http://w3id.org/arkumu/roles/role-247</t>
  </si>
  <si>
    <t xml:space="preserve">Textdichter:in</t>
  </si>
  <si>
    <t xml:space="preserve">Textdichterin,Textdichter</t>
  </si>
  <si>
    <t xml:space="preserve">lyricist</t>
  </si>
  <si>
    <t xml:space="preserve">Q822146</t>
  </si>
  <si>
    <t xml:space="preserve">http://w3id.org/arkumu/roles/role-248</t>
  </si>
  <si>
    <t xml:space="preserve">Theatergruppe</t>
  </si>
  <si>
    <t xml:space="preserve">Theaterensemble</t>
  </si>
  <si>
    <t xml:space="preserve">theatre group</t>
  </si>
  <si>
    <t xml:space="preserve">theater group,theatre company,theater company </t>
  </si>
  <si>
    <t xml:space="preserve">Q2416217</t>
  </si>
  <si>
    <t xml:space="preserve">4126993-7</t>
  </si>
  <si>
    <t xml:space="preserve">http://w3id.org/arkumu/roles/role-249</t>
  </si>
  <si>
    <t xml:space="preserve">Theaterleiter:in</t>
  </si>
  <si>
    <t xml:space="preserve">Theaterdirektor:in,Theaterleiterin,Theaterleiter</t>
  </si>
  <si>
    <t xml:space="preserve">theatre manager</t>
  </si>
  <si>
    <t xml:space="preserve">theater manager,theatre director,theater director</t>
  </si>
  <si>
    <t xml:space="preserve">Q1776724</t>
  </si>
  <si>
    <t xml:space="preserve">4398844-1</t>
  </si>
  <si>
    <t xml:space="preserve">4501736-0</t>
  </si>
  <si>
    <t xml:space="preserve">http://w3id.org/arkumu/roles/role-250</t>
  </si>
  <si>
    <t xml:space="preserve">Theaterproduzent:in</t>
  </si>
  <si>
    <t xml:space="preserve">Theaterproduzentin,Theaterproduzent</t>
  </si>
  <si>
    <t xml:space="preserve">theatrical producer</t>
  </si>
  <si>
    <t xml:space="preserve">theatre producer,theater producer</t>
  </si>
  <si>
    <t xml:space="preserve">Q1759246</t>
  </si>
  <si>
    <t xml:space="preserve">4504084-9</t>
  </si>
  <si>
    <t xml:space="preserve">4635472-4</t>
  </si>
  <si>
    <t xml:space="preserve">http://w3id.org/arkumu/roles/role-251</t>
  </si>
  <si>
    <t xml:space="preserve">Toningenieur:in</t>
  </si>
  <si>
    <t xml:space="preserve">Toningenieurin,Toningenieur</t>
  </si>
  <si>
    <t xml:space="preserve">audio engineer</t>
  </si>
  <si>
    <t xml:space="preserve">sound engineer</t>
  </si>
  <si>
    <t xml:space="preserve">Q128124</t>
  </si>
  <si>
    <t xml:space="preserve">http://w3id.org/arkumu/roles/role-252</t>
  </si>
  <si>
    <t xml:space="preserve">Master-Ingenieur:in</t>
  </si>
  <si>
    <t xml:space="preserve">Master-Ingenieurin,Master-Ingenieur</t>
  </si>
  <si>
    <t xml:space="preserve">mastering engineer</t>
  </si>
  <si>
    <t xml:space="preserve">Q6785368</t>
  </si>
  <si>
    <t xml:space="preserve">Toningenieur:in &gt; Master-Ingenieur:in</t>
  </si>
  <si>
    <t xml:space="preserve">audio engineer &gt; mastering engineer</t>
  </si>
  <si>
    <t xml:space="preserve">http://w3id.org/arkumu/roles/role-253</t>
  </si>
  <si>
    <t xml:space="preserve">Tonmischer:in</t>
  </si>
  <si>
    <t xml:space="preserve">Tonmischerin,Tonmischer</t>
  </si>
  <si>
    <t xml:space="preserve">sound mixer</t>
  </si>
  <si>
    <t xml:space="preserve">Q123110627</t>
  </si>
  <si>
    <t xml:space="preserve">Toningenieur:in &gt; Tonmischer:in</t>
  </si>
  <si>
    <t xml:space="preserve">audio engineer &gt; sound mixer</t>
  </si>
  <si>
    <t xml:space="preserve">http://w3id.org/arkumu/roles/role-254</t>
  </si>
  <si>
    <t xml:space="preserve">Übersetzer:in</t>
  </si>
  <si>
    <t xml:space="preserve">Übersetzerin,Übersetzer</t>
  </si>
  <si>
    <t xml:space="preserve">translator</t>
  </si>
  <si>
    <t xml:space="preserve">Q333634</t>
  </si>
  <si>
    <t xml:space="preserve">4061414-1</t>
  </si>
  <si>
    <t xml:space="preserve">4372438-3</t>
  </si>
  <si>
    <t xml:space="preserve">http://w3id.org/arkumu/roles/role-255</t>
  </si>
  <si>
    <t xml:space="preserve">Unternehmer:in</t>
  </si>
  <si>
    <t xml:space="preserve">Unternehmerin,Unternehmer</t>
  </si>
  <si>
    <t xml:space="preserve">entrepreneur</t>
  </si>
  <si>
    <t xml:space="preserve">Q131524</t>
  </si>
  <si>
    <t xml:space="preserve">4061949-7</t>
  </si>
  <si>
    <t xml:space="preserve">4187051-7</t>
  </si>
  <si>
    <t xml:space="preserve">http://w3id.org/arkumu/roles/role-256</t>
  </si>
  <si>
    <t xml:space="preserve">Veranstalter:in</t>
  </si>
  <si>
    <t xml:space="preserve">Veranstalterin,Veranstalter</t>
  </si>
  <si>
    <t xml:space="preserve">host</t>
  </si>
  <si>
    <t xml:space="preserve">Q2378505</t>
  </si>
  <si>
    <t xml:space="preserve">http://w3id.org/arkumu/roles/role-257</t>
  </si>
  <si>
    <t xml:space="preserve">Verfasser:in</t>
  </si>
  <si>
    <t xml:space="preserve">Autor,Verfasserin,Verfasser</t>
  </si>
  <si>
    <t xml:space="preserve">writer</t>
  </si>
  <si>
    <t xml:space="preserve">Q36180</t>
  </si>
  <si>
    <t xml:space="preserve">http://w3id.org/arkumu/roles/role-258</t>
  </si>
  <si>
    <t xml:space="preserve">Verleger:in</t>
  </si>
  <si>
    <t xml:space="preserve">Verlegerin,Verleger</t>
  </si>
  <si>
    <t xml:space="preserve">publisher</t>
  </si>
  <si>
    <t xml:space="preserve">Q2516866</t>
  </si>
  <si>
    <t xml:space="preserve">4138343-6</t>
  </si>
  <si>
    <t xml:space="preserve">4266720-3</t>
  </si>
  <si>
    <t xml:space="preserve">http://w3id.org/arkumu/roles/role-259</t>
  </si>
  <si>
    <t xml:space="preserve">Musikverleger:in</t>
  </si>
  <si>
    <t xml:space="preserve">Musikverlegerin,Musikverleger</t>
  </si>
  <si>
    <t xml:space="preserve">music publisher</t>
  </si>
  <si>
    <t xml:space="preserve">Q222836</t>
  </si>
  <si>
    <t xml:space="preserve">4398799-0</t>
  </si>
  <si>
    <t xml:space="preserve">7628960-6</t>
  </si>
  <si>
    <t xml:space="preserve">Verleger:in &gt; Musikverleger:in</t>
  </si>
  <si>
    <t xml:space="preserve">publisher &gt; music publisher</t>
  </si>
  <si>
    <t xml:space="preserve">http://w3id.org/arkumu/roles/role-260</t>
  </si>
  <si>
    <t xml:space="preserve">Vertrieb</t>
  </si>
  <si>
    <t xml:space="preserve">distributor</t>
  </si>
  <si>
    <t xml:space="preserve">Q12540664</t>
  </si>
  <si>
    <t xml:space="preserve">4127117-8</t>
  </si>
  <si>
    <t xml:space="preserve">http://w3id.org/arkumu/roles/role-261</t>
  </si>
  <si>
    <t xml:space="preserve">Voice-Over</t>
  </si>
  <si>
    <t xml:space="preserve">Off-Kommentar</t>
  </si>
  <si>
    <t xml:space="preserve">voice-over</t>
  </si>
  <si>
    <t xml:space="preserve">Q1146822</t>
  </si>
  <si>
    <t xml:space="preserve">4259542-3</t>
  </si>
  <si>
    <t xml:space="preserve">http://w3id.org/arkumu/roles/role-262</t>
  </si>
  <si>
    <t xml:space="preserve">Vokalist:in</t>
  </si>
  <si>
    <t xml:space="preserve">Vokalistin,Vokalist,Stimme</t>
  </si>
  <si>
    <t xml:space="preserve">Q2643890</t>
  </si>
  <si>
    <t xml:space="preserve">http://w3id.org/arkumu/roles/role-263</t>
  </si>
  <si>
    <t xml:space="preserve">Chansonnier/Chansonnière</t>
  </si>
  <si>
    <t xml:space="preserve">Chansonsängerin,Chansonsänger</t>
  </si>
  <si>
    <t xml:space="preserve">chansonnier/chanteuse</t>
  </si>
  <si>
    <t xml:space="preserve">Q13391399</t>
  </si>
  <si>
    <t xml:space="preserve">4194394-6</t>
  </si>
  <si>
    <t xml:space="preserve">4388002-2</t>
  </si>
  <si>
    <t xml:space="preserve">Vokalist:in &gt; Chansonnier/Chansonnière</t>
  </si>
  <si>
    <t xml:space="preserve">vocalist &gt; chansonnier/chanteuse</t>
  </si>
  <si>
    <t xml:space="preserve">http://w3id.org/arkumu/roles/role-264</t>
  </si>
  <si>
    <t xml:space="preserve">Jodler:in</t>
  </si>
  <si>
    <t xml:space="preserve">Jodlerin,Jodler</t>
  </si>
  <si>
    <t xml:space="preserve">yodeler</t>
  </si>
  <si>
    <t xml:space="preserve">Q21234378</t>
  </si>
  <si>
    <t xml:space="preserve">Vokalist:in &gt; Jodler:in</t>
  </si>
  <si>
    <t xml:space="preserve">vocalist &gt; yodeler</t>
  </si>
  <si>
    <t xml:space="preserve">http://w3id.org/arkumu/roles/role-265</t>
  </si>
  <si>
    <t xml:space="preserve">Rapper:in</t>
  </si>
  <si>
    <t xml:space="preserve">Rapperin,Rapper</t>
  </si>
  <si>
    <t xml:space="preserve">rapper</t>
  </si>
  <si>
    <t xml:space="preserve">Q2252262</t>
  </si>
  <si>
    <t xml:space="preserve">4303534-6</t>
  </si>
  <si>
    <t xml:space="preserve">107257439X</t>
  </si>
  <si>
    <t xml:space="preserve">Vokalist:in &gt; Rapper:in</t>
  </si>
  <si>
    <t xml:space="preserve">vocalist &gt; rapper</t>
  </si>
  <si>
    <t xml:space="preserve">http://w3id.org/arkumu/roles/role-266</t>
  </si>
  <si>
    <t xml:space="preserve">Vortragsredner:in</t>
  </si>
  <si>
    <t xml:space="preserve">Vortragsrednerin,Vortragsredner</t>
  </si>
  <si>
    <t xml:space="preserve">lecturer</t>
  </si>
  <si>
    <t xml:space="preserve">Q9379869</t>
  </si>
  <si>
    <t xml:space="preserve">http://w3id.org/arkumu/roles/role-267</t>
  </si>
  <si>
    <t xml:space="preserve">Webvideoproduzent:in</t>
  </si>
  <si>
    <t xml:space="preserve">Webvideoproduzentin,Webvideoproduzent</t>
  </si>
  <si>
    <t xml:space="preserve">web video producer</t>
  </si>
  <si>
    <t xml:space="preserve">Q118371929</t>
  </si>
  <si>
    <t xml:space="preserve">http://w3id.org/arkumu/roles/role-268</t>
  </si>
  <si>
    <t xml:space="preserve">Video Blogger:in</t>
  </si>
  <si>
    <t xml:space="preserve">Video-Blogger,Video-Bloggerin,Vlogger</t>
  </si>
  <si>
    <t xml:space="preserve">video blogger</t>
  </si>
  <si>
    <t xml:space="preserve">Q4110598</t>
  </si>
  <si>
    <t xml:space="preserve">Webvideoproduzent:in &gt; Video Blogger:in</t>
  </si>
  <si>
    <t xml:space="preserve">web video producer &gt; video blogger</t>
  </si>
  <si>
    <t xml:space="preserve">http://w3id.org/arkumu/roles/role-269</t>
  </si>
  <si>
    <t xml:space="preserve">Widmungsträger:in</t>
  </si>
  <si>
    <t xml:space="preserve">Widmungsempfängerin,Widmungsempfänger,Widmungsträgerin,Widmungsträger</t>
  </si>
  <si>
    <t xml:space="preserve">dedicatee</t>
  </si>
  <si>
    <t xml:space="preserve">Q28008298</t>
  </si>
  <si>
    <t xml:space="preserve">http://w3id.org/arkumu/roles/role-270</t>
  </si>
  <si>
    <t xml:space="preserve">Zirkusdirektor:in</t>
  </si>
  <si>
    <t xml:space="preserve">Zirkusdirektorin,Zirkusdirektor</t>
  </si>
  <si>
    <t xml:space="preserve">circus director</t>
  </si>
  <si>
    <t xml:space="preserve">circus owner</t>
  </si>
  <si>
    <t xml:space="preserve">Q21061372</t>
  </si>
  <si>
    <t xml:space="preserve">http://w3id.org/arkumu/roles/role-271</t>
  </si>
  <si>
    <t xml:space="preserve">Zupfinstrumentenspieler:in</t>
  </si>
  <si>
    <t xml:space="preserve">Zupfinstrumentenspielerin,Zupfinstrumentenspieler</t>
  </si>
  <si>
    <t xml:space="preserve">plucked string instrument player</t>
  </si>
  <si>
    <t xml:space="preserve">Q123110687</t>
  </si>
  <si>
    <t xml:space="preserve">http://w3id.org/arkumu/roles/role-272</t>
  </si>
  <si>
    <t xml:space="preserve">Balalaikaspieler:in</t>
  </si>
  <si>
    <t xml:space="preserve">Balalaikaspielerin,Balalaikaspieler</t>
  </si>
  <si>
    <t xml:space="preserve">balalaikist</t>
  </si>
  <si>
    <t xml:space="preserve">Q56418646</t>
  </si>
  <si>
    <t xml:space="preserve">Zupfinstrumentenspieler:in &gt; Balalaikaspieler:in</t>
  </si>
  <si>
    <t xml:space="preserve">plucked string instrument player &gt; balalaikist</t>
  </si>
  <si>
    <t xml:space="preserve">http://w3id.org/arkumu/roles/role-273</t>
  </si>
  <si>
    <t xml:space="preserve">Banjospieler:in</t>
  </si>
  <si>
    <t xml:space="preserve">Banjoistin,Banjoist,Banjospielerin,Banjospieler</t>
  </si>
  <si>
    <t xml:space="preserve">banjoist</t>
  </si>
  <si>
    <t xml:space="preserve">banjo player</t>
  </si>
  <si>
    <t xml:space="preserve">Q9648008</t>
  </si>
  <si>
    <t xml:space="preserve">7520692-4</t>
  </si>
  <si>
    <t xml:space="preserve">7553272-4</t>
  </si>
  <si>
    <t xml:space="preserve">Zupfinstrumentenspieler:in &gt; Banjospieler:in</t>
  </si>
  <si>
    <t xml:space="preserve">plucked string instrument player &gt; banjoist</t>
  </si>
  <si>
    <t xml:space="preserve">http://w3id.org/arkumu/roles/role-274</t>
  </si>
  <si>
    <t xml:space="preserve">Bassist:in (Instrument)</t>
  </si>
  <si>
    <t xml:space="preserve">Bassgitarristin,Bassgitarrist</t>
  </si>
  <si>
    <t xml:space="preserve">bassist (instrument)</t>
  </si>
  <si>
    <t xml:space="preserve">bass guitarist</t>
  </si>
  <si>
    <t xml:space="preserve">Q584301</t>
  </si>
  <si>
    <t xml:space="preserve">Zupfinstrumentenspieler:in &gt; Bassist:in (Instrument)</t>
  </si>
  <si>
    <t xml:space="preserve">plucked string instrument player &gt; bassist (instrument)</t>
  </si>
  <si>
    <t xml:space="preserve">http://w3id.org/arkumu/roles/role-275</t>
  </si>
  <si>
    <t xml:space="preserve">Gitarrist:in</t>
  </si>
  <si>
    <t xml:space="preserve">Gitarristin,Gitarrist</t>
  </si>
  <si>
    <t xml:space="preserve">guitarist</t>
  </si>
  <si>
    <t xml:space="preserve">Q855091</t>
  </si>
  <si>
    <t xml:space="preserve">4157372-9</t>
  </si>
  <si>
    <t xml:space="preserve">7553322-4</t>
  </si>
  <si>
    <t xml:space="preserve">Zupfinstrumentenspieler:in &gt; Gitarrist:in</t>
  </si>
  <si>
    <t xml:space="preserve">plucked string instrument player &gt; guitarist</t>
  </si>
  <si>
    <t xml:space="preserve">http://w3id.org/arkumu/roles/role-276</t>
  </si>
  <si>
    <t xml:space="preserve">Lead-Gitarrist:in</t>
  </si>
  <si>
    <t xml:space="preserve">Lead-Gitarristin,Lead-Gitarrist</t>
  </si>
  <si>
    <t xml:space="preserve">lead guitarist</t>
  </si>
  <si>
    <t xml:space="preserve">Q901192</t>
  </si>
  <si>
    <t xml:space="preserve">Zupfinstrumentenspieler:in &gt; Gitarrist:in &gt; Lead-Gitarrist:in</t>
  </si>
  <si>
    <t xml:space="preserve">plucked string instrument player &gt; guitarist &gt; lead guitarist</t>
  </si>
  <si>
    <t xml:space="preserve">http://w3id.org/arkumu/roles/role-277</t>
  </si>
  <si>
    <t xml:space="preserve">Rhythmusgitarrist:in</t>
  </si>
  <si>
    <t xml:space="preserve">Rhythmusgitarrist,Rhythmusgitarristin</t>
  </si>
  <si>
    <t xml:space="preserve">rhythm guitarist</t>
  </si>
  <si>
    <t xml:space="preserve">Q61045547</t>
  </si>
  <si>
    <t xml:space="preserve">Zupfinstrumentenspieler:in &gt; Gitarrist:in &gt; Rhythmusgitarrist</t>
  </si>
  <si>
    <t xml:space="preserve">plucked string instrument player &gt; guitarist &gt; rhythm guitarist</t>
  </si>
  <si>
    <t xml:space="preserve">http://w3id.org/arkumu/roles/role-278</t>
  </si>
  <si>
    <t xml:space="preserve">Harfenist:in</t>
  </si>
  <si>
    <t xml:space="preserve">Harfenistin,Harfenist</t>
  </si>
  <si>
    <t xml:space="preserve">harpist</t>
  </si>
  <si>
    <t xml:space="preserve">Q3127709</t>
  </si>
  <si>
    <t xml:space="preserve">4272861-7</t>
  </si>
  <si>
    <t xml:space="preserve">4712027-7</t>
  </si>
  <si>
    <t xml:space="preserve">Zupfinstrumentenspieler:in &gt; Harfenist:in</t>
  </si>
  <si>
    <t xml:space="preserve">plucked string instrument player &gt; harpist</t>
  </si>
  <si>
    <t xml:space="preserve">http://w3id.org/arkumu/roles/role-279</t>
  </si>
  <si>
    <t xml:space="preserve">Lautenist:in</t>
  </si>
  <si>
    <t xml:space="preserve">lute player,Lautenistin,Lautenist</t>
  </si>
  <si>
    <t xml:space="preserve">lutenist</t>
  </si>
  <si>
    <t xml:space="preserve">Q21166956</t>
  </si>
  <si>
    <t xml:space="preserve">4606716-4</t>
  </si>
  <si>
    <t xml:space="preserve">4685940-8</t>
  </si>
  <si>
    <t xml:space="preserve">Zupfinstrumentenspieler:in &gt; Lautenist:in</t>
  </si>
  <si>
    <t xml:space="preserve">plucked string instrument player &gt; lutenist</t>
  </si>
  <si>
    <t xml:space="preserve">http://w3id.org/arkumu/roles/role-280</t>
  </si>
  <si>
    <t xml:space="preserve">Mandolinist:in</t>
  </si>
  <si>
    <t xml:space="preserve">Mandolinistin,Mandolinist</t>
  </si>
  <si>
    <t xml:space="preserve">mandolinist</t>
  </si>
  <si>
    <t xml:space="preserve">Q19723482</t>
  </si>
  <si>
    <t xml:space="preserve">7553345-5</t>
  </si>
  <si>
    <t xml:space="preserve">7553344-3</t>
  </si>
  <si>
    <t xml:space="preserve">Zupfinstrumentenspieler:in &gt; Mandolinist:in</t>
  </si>
  <si>
    <t xml:space="preserve">plucked string instrument player &gt; mandolinist</t>
  </si>
  <si>
    <t xml:space="preserve">http://w3id.org/arkumu/roles/role-281</t>
  </si>
  <si>
    <t xml:space="preserve">Ukulelist:in</t>
  </si>
  <si>
    <t xml:space="preserve">Ukulelistin,Ukulelist</t>
  </si>
  <si>
    <t xml:space="preserve">ukulelist</t>
  </si>
  <si>
    <t xml:space="preserve">Q60643157</t>
  </si>
  <si>
    <t xml:space="preserve">Zupfinstrumentenspieler:in &gt; Ukulelist:in</t>
  </si>
  <si>
    <t xml:space="preserve">plucked string instrument player &gt; ukulelist</t>
  </si>
  <si>
    <t xml:space="preserve">http://w3id.org/arkumu/roles/role-282</t>
  </si>
  <si>
    <t xml:space="preserve">Zitherspieler:in</t>
  </si>
  <si>
    <t xml:space="preserve">Zitherspielerin,Zitherspieler</t>
  </si>
  <si>
    <t xml:space="preserve">zitherist</t>
  </si>
  <si>
    <t xml:space="preserve">Q55977806</t>
  </si>
  <si>
    <t xml:space="preserve">7553302-9</t>
  </si>
  <si>
    <t xml:space="preserve">7553301-7</t>
  </si>
  <si>
    <t xml:space="preserve">Zupfinstrumentenspieler:in &gt; Zitherspieler:in</t>
  </si>
  <si>
    <t xml:space="preserve">plucked string instrument player &gt; Zitherspieler:in</t>
  </si>
  <si>
    <t xml:space="preserve">http://w3id.org/arkumu/roles/role-283</t>
  </si>
  <si>
    <t xml:space="preserve">unbekannt</t>
  </si>
  <si>
    <t xml:space="preserve">nicht feststellbar</t>
  </si>
  <si>
    <t xml:space="preserve">unknown</t>
  </si>
  <si>
    <t xml:space="preserve">undocumented</t>
  </si>
  <si>
    <t xml:space="preserve">Q24238356</t>
  </si>
  <si>
    <t xml:space="preserve">http://w3id.org/arkumu/roles/role-284</t>
  </si>
  <si>
    <t xml:space="preserve">Komiker:in</t>
  </si>
  <si>
    <t xml:space="preserve">Komiker,Komikerin,Komödiant:in,Komödiant,Komödiantin</t>
  </si>
  <si>
    <t xml:space="preserve">comedian</t>
  </si>
  <si>
    <t xml:space="preserve">comic</t>
  </si>
  <si>
    <t xml:space="preserve">Q245068</t>
  </si>
  <si>
    <t xml:space="preserve">4164760-9</t>
  </si>
  <si>
    <t xml:space="preserve">4356688-1</t>
  </si>
  <si>
    <t xml:space="preserve">http://w3id.org/arkumu/roles/role-285</t>
  </si>
  <si>
    <t xml:space="preserve">Boxer:in</t>
  </si>
  <si>
    <t xml:space="preserve">Faustkämpfer,Faustkämpferin</t>
  </si>
  <si>
    <t xml:space="preserve">boxer</t>
  </si>
  <si>
    <t xml:space="preserve">Q11338576</t>
  </si>
  <si>
    <t xml:space="preserve">4267563-7</t>
  </si>
  <si>
    <t xml:space="preserve">7740948-6</t>
  </si>
  <si>
    <t xml:space="preserve">http://w3id.org/arkumu/roles/role-286</t>
  </si>
  <si>
    <t xml:space="preserve">Tanzorchester</t>
  </si>
  <si>
    <t xml:space="preserve">Tanzkapelle</t>
  </si>
  <si>
    <t xml:space="preserve">dance orchestra</t>
  </si>
  <si>
    <t xml:space="preserve">dance band</t>
  </si>
  <si>
    <t xml:space="preserve">Q2393375</t>
  </si>
  <si>
    <t xml:space="preserve">4473512-1</t>
  </si>
  <si>
    <t xml:space="preserve">Musikensemble &gt; Orchester &gt; Tanzorchester</t>
  </si>
  <si>
    <t xml:space="preserve">musical ensemble &gt; orchestra &gt; dance orchestra</t>
  </si>
  <si>
    <t xml:space="preserve">http://w3id.org/arkumu/roles/role-287</t>
  </si>
  <si>
    <t xml:space="preserve">Tonträgerunternehmen</t>
  </si>
  <si>
    <t xml:space="preserve">Schallplattenfirma,Tonträgerfirma,Schallplattenunternehmen</t>
  </si>
  <si>
    <t xml:space="preserve">record company</t>
  </si>
  <si>
    <t xml:space="preserve">Q2442401</t>
  </si>
  <si>
    <t xml:space="preserve">http://w3id.org/arkumu/roles/role-288</t>
  </si>
  <si>
    <t xml:space="preserve">Software-Entwickler:in</t>
  </si>
  <si>
    <t xml:space="preserve">software developer</t>
  </si>
  <si>
    <t xml:space="preserve">Q183888</t>
  </si>
  <si>
    <t xml:space="preserve">http://w3id.org/arkumu/roles/role-289</t>
  </si>
  <si>
    <t xml:space="preserve">Schriftsteller:in</t>
  </si>
  <si>
    <t xml:space="preserve">Buchautorin,Urheber,Schriftsteller,Buchautor,Autor,Schriftstellerin,Autorin,Verfasserin,Verfasser,Urheberin</t>
  </si>
  <si>
    <t xml:space="preserve">4053309-8</t>
  </si>
  <si>
    <t xml:space="preserve">4053311-6</t>
  </si>
  <si>
    <t xml:space="preserve">Autor:in &gt; Schriftsteller:in</t>
  </si>
  <si>
    <t xml:space="preserve">author &gt; writer</t>
  </si>
  <si>
    <t xml:space="preserve">http://w3id.org/arkumu/roles/role-290</t>
  </si>
  <si>
    <t xml:space="preserve">Kriminalschriftsteller:in</t>
  </si>
  <si>
    <t xml:space="preserve">Kriminalroman-Schriftsteller,Kriminalroman-Autor,Kriminalroman-Autorin,Kriminal-Autor,Kriminalromanautor,Krimiautorin,Kriminalautor,Kriminalschriftsteller,Kriminalroman-Schriftstellerin,Krimi-Autorin,Kriminalromanautorin,Kriminal-Autorin,Krimi-Autor,Kriminalautorin,Krimiautor,Kriminalschriftstellerin</t>
  </si>
  <si>
    <t xml:space="preserve">crime fiction writer</t>
  </si>
  <si>
    <t xml:space="preserve">Q10297252</t>
  </si>
  <si>
    <t xml:space="preserve">7624356-4</t>
  </si>
  <si>
    <t xml:space="preserve">7624358-8</t>
  </si>
  <si>
    <t xml:space="preserve">Autor:in &gt; Schriftsteller:in &gt; Kriminalschriftsteller:in</t>
  </si>
  <si>
    <t xml:space="preserve">author &gt; writer &gt; crime fiction writer</t>
  </si>
  <si>
    <t xml:space="preserve">http://w3id.org/arkumu/roles/role-291</t>
  </si>
  <si>
    <t xml:space="preserve">Lyriker:in</t>
  </si>
  <si>
    <t xml:space="preserve">Dichterin,Poet,Lyrikerin,Poetin,Dichter,Lyriker</t>
  </si>
  <si>
    <t xml:space="preserve">poet</t>
  </si>
  <si>
    <t xml:space="preserve">Q49757</t>
  </si>
  <si>
    <t xml:space="preserve">4168391-2</t>
  </si>
  <si>
    <t xml:space="preserve">4246394-4</t>
  </si>
  <si>
    <t xml:space="preserve">Autor:in &gt; Schriftsteller:in &gt; Lyriker:in</t>
  </si>
  <si>
    <t xml:space="preserve">author &gt; writer &gt; poet</t>
  </si>
  <si>
    <t xml:space="preserve">http://w3id.org/arkumu/roles/role-292</t>
  </si>
  <si>
    <t xml:space="preserve">Betriebswirt:in</t>
  </si>
  <si>
    <t xml:space="preserve">Dipl.-Betriebswirt (FH),Betriebswirtin,Dipl.-Betrw.,Staatlich geprüfte Betriebswirtin,Dipl.-BW,Dipl.-Bw.,Diplom-Betriebswirtschaftlerin,Dipl.-Betriebswirtin (FH),Beratende Betriebswirtin,Dipl.-Betriebsw.,Beratender Betriebswirt,Diplom-Betriebswirtin,Staatlich geprüfter Betriebswirt,Diplom-Betriebswirt,Betriebswirt,Diplom-Betriebswirtschaftler,Dipl.-Bwt.,Dipl.-Betr.-Wirt</t>
  </si>
  <si>
    <t xml:space="preserve">business manager</t>
  </si>
  <si>
    <t xml:space="preserve">Q832136</t>
  </si>
  <si>
    <t xml:space="preserve">4145078-4</t>
  </si>
  <si>
    <t xml:space="preserve">7546980-7</t>
  </si>
  <si>
    <t xml:space="preserve">http://w3id.org/arkumu/roles/role-293</t>
  </si>
  <si>
    <t xml:space="preserve">Bewegungspädagog:in</t>
  </si>
  <si>
    <t xml:space="preserve">Bewegungspädagoge,Bewegungspädagogin</t>
  </si>
  <si>
    <t xml:space="preserve">movement educator</t>
  </si>
  <si>
    <t xml:space="preserve">Q128303868</t>
  </si>
  <si>
    <t xml:space="preserve">http://w3id.org/arkumu/roles/role-294</t>
  </si>
  <si>
    <t xml:space="preserve">Bildhauer:in</t>
  </si>
  <si>
    <t xml:space="preserve">Plastiker,Plastikerin,Bildhauerin,Bildhauer</t>
  </si>
  <si>
    <t xml:space="preserve">sculptor</t>
  </si>
  <si>
    <t xml:space="preserve">Q1281618</t>
  </si>
  <si>
    <t xml:space="preserve">4139550-5</t>
  </si>
  <si>
    <t xml:space="preserve">4294734-0</t>
  </si>
  <si>
    <t xml:space="preserve">http://w3id.org/arkumu/roles/role-295</t>
  </si>
  <si>
    <t xml:space="preserve">Biolog:in</t>
  </si>
  <si>
    <t xml:space="preserve">Biologin,Biologe</t>
  </si>
  <si>
    <t xml:space="preserve">biologist</t>
  </si>
  <si>
    <t xml:space="preserve">Q864503</t>
  </si>
  <si>
    <t xml:space="preserve">4131826-2</t>
  </si>
  <si>
    <t xml:space="preserve">4380756-2</t>
  </si>
  <si>
    <t xml:space="preserve">http://w3id.org/arkumu/roles/role-296</t>
  </si>
  <si>
    <t xml:space="preserve">Biotechniker:in</t>
  </si>
  <si>
    <t xml:space="preserve">biological technician</t>
  </si>
  <si>
    <t xml:space="preserve">Q121904647</t>
  </si>
  <si>
    <t xml:space="preserve">http://w3id.org/arkumu/roles/role-297</t>
  </si>
  <si>
    <t xml:space="preserve">Botaniker:in</t>
  </si>
  <si>
    <t xml:space="preserve">Bontanikerin,Pflanzenkundler,Pflanzenkundlerin,Botaniker</t>
  </si>
  <si>
    <t xml:space="preserve">botanist</t>
  </si>
  <si>
    <t xml:space="preserve">Q2374149</t>
  </si>
  <si>
    <t xml:space="preserve">4146402-3</t>
  </si>
  <si>
    <t xml:space="preserve">4631979-7</t>
  </si>
  <si>
    <t xml:space="preserve">http://w3id.org/arkumu/roles/role-298</t>
  </si>
  <si>
    <t xml:space="preserve">Selbstverleger:in</t>
  </si>
  <si>
    <t xml:space="preserve">Selbstverleger,Selbstverlegerin</t>
  </si>
  <si>
    <t xml:space="preserve">independent publisher</t>
  </si>
  <si>
    <t xml:space="preserve">Q115793211</t>
  </si>
  <si>
    <t xml:space="preserve">7719046-4</t>
  </si>
  <si>
    <t xml:space="preserve">7719048-8</t>
  </si>
  <si>
    <t xml:space="preserve">http://w3id.org/arkumu/roles/role-299</t>
  </si>
  <si>
    <t xml:space="preserve">Web-Designer:in</t>
  </si>
  <si>
    <t xml:space="preserve">Webdesignerin,Webdesigner</t>
  </si>
  <si>
    <t xml:space="preserve">website designer</t>
  </si>
  <si>
    <t xml:space="preserve">Q11288554</t>
  </si>
  <si>
    <t xml:space="preserve">7826295-1</t>
  </si>
  <si>
    <t xml:space="preserve">7826298-7</t>
  </si>
  <si>
    <t xml:space="preserve">Designer:in &gt; Web-Designer:in</t>
  </si>
  <si>
    <t xml:space="preserve">designer &gt; website designer</t>
  </si>
  <si>
    <t xml:space="preserve">http://w3id.org/arkumu/roles/role-300</t>
  </si>
  <si>
    <t xml:space="preserve">Kapellmeister:in</t>
  </si>
  <si>
    <t xml:space="preserve">Kapellmeisterin,Kapellmeister,Capellmeister,Capellmeisterein,Maestro di cappella,Orchesterleiter,Orchesterleiterin</t>
  </si>
  <si>
    <t xml:space="preserve">chapelmaster</t>
  </si>
  <si>
    <t xml:space="preserve">4398802-7</t>
  </si>
  <si>
    <t xml:space="preserve">Dirigent:in &gt; Kapellmeister:in</t>
  </si>
  <si>
    <t xml:space="preserve">conductor &gt; chapelmaster</t>
  </si>
  <si>
    <t xml:space="preserve">http://w3id.org/arkumu/roles/role-301</t>
  </si>
  <si>
    <t xml:space="preserve">Ergonom:in</t>
  </si>
  <si>
    <t xml:space="preserve">Ergonome,Ergonomin</t>
  </si>
  <si>
    <t xml:space="preserve">ergonomist</t>
  </si>
  <si>
    <t xml:space="preserve">Q11697052</t>
  </si>
  <si>
    <t xml:space="preserve">http://w3id.org/arkumu/roles/role-302</t>
  </si>
  <si>
    <t xml:space="preserve">Garderobier:e</t>
  </si>
  <si>
    <t xml:space="preserve">Garderobiere,Garderobier</t>
  </si>
  <si>
    <t xml:space="preserve">dresser</t>
  </si>
  <si>
    <t xml:space="preserve">Q3125351</t>
  </si>
  <si>
    <t xml:space="preserve">http://w3id.org/arkumu/roles/role-303</t>
  </si>
  <si>
    <t xml:space="preserve">Geschäftspartner:in</t>
  </si>
  <si>
    <t xml:space="preserve">Geschäftspartnerin,Geschäftspartner</t>
  </si>
  <si>
    <t xml:space="preserve">business partner</t>
  </si>
  <si>
    <t xml:space="preserve">Q3366101</t>
  </si>
  <si>
    <t xml:space="preserve">http://w3id.org/arkumu/roles/role-304</t>
  </si>
  <si>
    <t xml:space="preserve">Dolly Grip</t>
  </si>
  <si>
    <t xml:space="preserve">dolly grip</t>
  </si>
  <si>
    <t xml:space="preserve">Q4165151</t>
  </si>
  <si>
    <t xml:space="preserve">Grip &gt; Dolly Grip</t>
  </si>
  <si>
    <t xml:space="preserve">grip &gt; dolly grip</t>
  </si>
  <si>
    <t xml:space="preserve">http://w3id.org/arkumu/roles/role-305</t>
  </si>
  <si>
    <t xml:space="preserve">Handwerker:in</t>
  </si>
  <si>
    <t xml:space="preserve">Handwerker,Handwerkerin</t>
  </si>
  <si>
    <t xml:space="preserve">artisan</t>
  </si>
  <si>
    <t xml:space="preserve">Q1294787</t>
  </si>
  <si>
    <t xml:space="preserve">4023302-9</t>
  </si>
  <si>
    <t xml:space="preserve">4874306-9</t>
  </si>
  <si>
    <t xml:space="preserve">http://w3id.org/arkumu/roles/role-306</t>
  </si>
  <si>
    <t xml:space="preserve">Buchbinder:in</t>
  </si>
  <si>
    <t xml:space="preserve">Buchbinderin,Buchbinder</t>
  </si>
  <si>
    <t xml:space="preserve">bookbinder</t>
  </si>
  <si>
    <t xml:space="preserve">Q1413170</t>
  </si>
  <si>
    <t xml:space="preserve">4146794-2</t>
  </si>
  <si>
    <t xml:space="preserve">4438347-2</t>
  </si>
  <si>
    <t xml:space="preserve">Handwerker:in &gt; Buchbinder:in</t>
  </si>
  <si>
    <t xml:space="preserve">artisan &gt; bookbinder</t>
  </si>
  <si>
    <t xml:space="preserve">http://w3id.org/arkumu/roles/role-307</t>
  </si>
  <si>
    <t xml:space="preserve">Drucker:in</t>
  </si>
  <si>
    <t xml:space="preserve">Drucker,Drucktechnologin,Drucktechniker,Drucktechnologe,Drucktechnikerin,Druckerin</t>
  </si>
  <si>
    <t xml:space="preserve">printer</t>
  </si>
  <si>
    <t xml:space="preserve">Q175151</t>
  </si>
  <si>
    <t xml:space="preserve">4013091-5</t>
  </si>
  <si>
    <t xml:space="preserve">Handwerker:in &gt; Drucker:in</t>
  </si>
  <si>
    <t xml:space="preserve">artisan &gt; printer</t>
  </si>
  <si>
    <t xml:space="preserve">http://w3id.org/arkumu/roles/role-308</t>
  </si>
  <si>
    <t xml:space="preserve">Schneider:in</t>
  </si>
  <si>
    <t xml:space="preserve">Weißnäherin,Schneiderin,Näherin,Schneider,Schneidermeister,Näher,Schneidermeisterin,Weißnäher</t>
  </si>
  <si>
    <t xml:space="preserve">tailor</t>
  </si>
  <si>
    <t xml:space="preserve">Q242468</t>
  </si>
  <si>
    <t xml:space="preserve">4153182-6</t>
  </si>
  <si>
    <t xml:space="preserve">4209144-5</t>
  </si>
  <si>
    <t xml:space="preserve">Handwerker:in &gt; Schneider:in</t>
  </si>
  <si>
    <t xml:space="preserve">artisan &gt; tailor</t>
  </si>
  <si>
    <t xml:space="preserve">http://w3id.org/arkumu/roles/role-309</t>
  </si>
  <si>
    <t xml:space="preserve">Herausgeber:in</t>
  </si>
  <si>
    <t xml:space="preserve">Herausgeberin,Hrsg.,Hg.,Herausgeber</t>
  </si>
  <si>
    <t xml:space="preserve">Q1607826</t>
  </si>
  <si>
    <t xml:space="preserve">4159575-0</t>
  </si>
  <si>
    <t xml:space="preserve">4430555-2</t>
  </si>
  <si>
    <t xml:space="preserve">http://w3id.org/arkumu/roles/role-310</t>
  </si>
  <si>
    <t xml:space="preserve">Humangeograph:in</t>
  </si>
  <si>
    <t xml:space="preserve">Antropogeographin,Antropogeografin,Humangeograph,Antropogeograf,Humangeographin,Humangeograf,Antropogeograph,Humangeografin</t>
  </si>
  <si>
    <t xml:space="preserve">human geographer</t>
  </si>
  <si>
    <t xml:space="preserve">Q60332470</t>
  </si>
  <si>
    <t xml:space="preserve">http://w3id.org/arkumu/roles/role-311</t>
  </si>
  <si>
    <t xml:space="preserve">Informatiker:in</t>
  </si>
  <si>
    <t xml:space="preserve">Informatiker,Informatikerin</t>
  </si>
  <si>
    <t xml:space="preserve">computer scientist</t>
  </si>
  <si>
    <t xml:space="preserve">Q82594</t>
  </si>
  <si>
    <t xml:space="preserve">4139395-8</t>
  </si>
  <si>
    <t xml:space="preserve">4219059-9</t>
  </si>
  <si>
    <t xml:space="preserve">http://w3id.org/arkumu/roles/role-312</t>
  </si>
  <si>
    <t xml:space="preserve">Jurist:in</t>
  </si>
  <si>
    <t xml:space="preserve">Juristin,Jurist</t>
  </si>
  <si>
    <t xml:space="preserve">jurist</t>
  </si>
  <si>
    <t xml:space="preserve">Q185351</t>
  </si>
  <si>
    <t xml:space="preserve">4029050-5</t>
  </si>
  <si>
    <t xml:space="preserve">4130076-2</t>
  </si>
  <si>
    <t xml:space="preserve">http://w3id.org/arkumu/roles/role-313</t>
  </si>
  <si>
    <t xml:space="preserve">Keramiker:in</t>
  </si>
  <si>
    <t xml:space="preserve">Keramiker,Keramikerin</t>
  </si>
  <si>
    <t xml:space="preserve">ceramicist</t>
  </si>
  <si>
    <t xml:space="preserve">Q7541856</t>
  </si>
  <si>
    <t xml:space="preserve">4307126-0</t>
  </si>
  <si>
    <t xml:space="preserve">7541443-0</t>
  </si>
  <si>
    <t xml:space="preserve">http://w3id.org/arkumu/roles/role-314</t>
  </si>
  <si>
    <t xml:space="preserve">Konzertmeister:in</t>
  </si>
  <si>
    <t xml:space="preserve">Konzertmeisterin,Konzertmeister</t>
  </si>
  <si>
    <t xml:space="preserve">concertmaster</t>
  </si>
  <si>
    <t xml:space="preserve">Q691031</t>
  </si>
  <si>
    <t xml:space="preserve">4231707-1</t>
  </si>
  <si>
    <t xml:space="preserve">http://w3id.org/arkumu/roles/role-315</t>
  </si>
  <si>
    <t xml:space="preserve">Korrepetitor:in</t>
  </si>
  <si>
    <t xml:space="preserve">Korrepetition,Korrepetitorin,Solorepetitor,Solorepetitorin,Korrepetitor</t>
  </si>
  <si>
    <t xml:space="preserve">répétiteur</t>
  </si>
  <si>
    <t xml:space="preserve">Q1784753</t>
  </si>
  <si>
    <t xml:space="preserve">4283458-2</t>
  </si>
  <si>
    <t xml:space="preserve">http://w3id.org/arkumu/roles/role-316</t>
  </si>
  <si>
    <t xml:space="preserve">Kranführer:in</t>
  </si>
  <si>
    <t xml:space="preserve">crane operator</t>
  </si>
  <si>
    <t xml:space="preserve">Q70660439</t>
  </si>
  <si>
    <t xml:space="preserve">4165486-9</t>
  </si>
  <si>
    <t xml:space="preserve">http://w3id.org/arkumu/roles/role-317</t>
  </si>
  <si>
    <t xml:space="preserve">Kulturwissenschaftler:in</t>
  </si>
  <si>
    <t xml:space="preserve">Kulturwissenschaftlerin,Kulturologin,Kulturologe,Kulturwissenschaftler</t>
  </si>
  <si>
    <t xml:space="preserve">cultural studies scholar</t>
  </si>
  <si>
    <t xml:space="preserve">Q19829999</t>
  </si>
  <si>
    <t xml:space="preserve">4485235-6</t>
  </si>
  <si>
    <t xml:space="preserve">7538689-6</t>
  </si>
  <si>
    <t xml:space="preserve">http://w3id.org/arkumu/roles/role-318</t>
  </si>
  <si>
    <t xml:space="preserve">Kunsthistoriker:in</t>
  </si>
  <si>
    <t xml:space="preserve">Kunsthistorikerin,Kunstwissenschaftler,Kunstgeschichtlerin,Kunstgeschichtler,Kunsthistoriker,Kunstwissenschaftlerin</t>
  </si>
  <si>
    <t xml:space="preserve">art historian</t>
  </si>
  <si>
    <t xml:space="preserve">Q1792450</t>
  </si>
  <si>
    <t xml:space="preserve">4033654-2</t>
  </si>
  <si>
    <t xml:space="preserve">4226289-6</t>
  </si>
  <si>
    <t xml:space="preserve">http://w3id.org/arkumu/roles/role-319</t>
  </si>
  <si>
    <t xml:space="preserve">Grafikdesigner:in</t>
  </si>
  <si>
    <t xml:space="preserve">Graphikdesignerin,Gebrauchsgraphiker,Gebrauchsgrafiker,Gebrauchsgraphikerin,Gebrauchsgrafikerin,Grafikdesignerin,Graphikdesigner,Grafikdesigner</t>
  </si>
  <si>
    <t xml:space="preserve">graphic designer</t>
  </si>
  <si>
    <t xml:space="preserve">Q627325</t>
  </si>
  <si>
    <t xml:space="preserve">4125173-8</t>
  </si>
  <si>
    <t xml:space="preserve">4550852-5</t>
  </si>
  <si>
    <t xml:space="preserve">Designer:in &gt; Grafikdesigner:in</t>
  </si>
  <si>
    <t xml:space="preserve">designer &gt; graphic designer</t>
  </si>
  <si>
    <t xml:space="preserve">http://w3id.org/arkumu/roles/role-320</t>
  </si>
  <si>
    <t xml:space="preserve">Klangkünstler:in</t>
  </si>
  <si>
    <t xml:space="preserve">Klangkünstlerin,Klangkünstler</t>
  </si>
  <si>
    <t xml:space="preserve">sound artist</t>
  </si>
  <si>
    <t xml:space="preserve">Q19850998</t>
  </si>
  <si>
    <t xml:space="preserve">Künstler:in &gt; Klangkünstler:in</t>
  </si>
  <si>
    <t xml:space="preserve">artist &gt; sound artist</t>
  </si>
  <si>
    <t xml:space="preserve">http://w3id.org/arkumu/roles/role-321</t>
  </si>
  <si>
    <t xml:space="preserve">Illustrator:in</t>
  </si>
  <si>
    <t xml:space="preserve">Buch-Illustratorin,Illustratorin,Illustrator,Buchillustratorin,Buchillustrator,Buch-Illustrator</t>
  </si>
  <si>
    <t xml:space="preserve">illustrator</t>
  </si>
  <si>
    <t xml:space="preserve">Q644687</t>
  </si>
  <si>
    <t xml:space="preserve">4161277-2</t>
  </si>
  <si>
    <t xml:space="preserve">4454346-3</t>
  </si>
  <si>
    <t xml:space="preserve">Künstler:in &gt; Maler:in &gt; Illustrator:in</t>
  </si>
  <si>
    <t xml:space="preserve">artist &gt; painter &gt; illustrator</t>
  </si>
  <si>
    <t xml:space="preserve">http://w3id.org/arkumu/roles/role-322</t>
  </si>
  <si>
    <t xml:space="preserve">Performancekünstler:in</t>
  </si>
  <si>
    <t xml:space="preserve">Performancekünstler,Performancekünstlerin,Aktionskünstlerin,Aktionskünstler</t>
  </si>
  <si>
    <t xml:space="preserve">Künstler:in &gt; Performancekünstler:in</t>
  </si>
  <si>
    <t xml:space="preserve">artist &gt; performance artist</t>
  </si>
  <si>
    <t xml:space="preserve">http://w3id.org/arkumu/roles/role-323</t>
  </si>
  <si>
    <t xml:space="preserve">Videokünstler:in</t>
  </si>
  <si>
    <t xml:space="preserve">Videokünstlerin,Videokünstler</t>
  </si>
  <si>
    <t xml:space="preserve">video artist</t>
  </si>
  <si>
    <t xml:space="preserve">Q18216771</t>
  </si>
  <si>
    <t xml:space="preserve">4188228-3</t>
  </si>
  <si>
    <t xml:space="preserve">Künstler:in &gt; Videokünstler:in</t>
  </si>
  <si>
    <t xml:space="preserve">artist &gt; video artist</t>
  </si>
  <si>
    <t xml:space="preserve">http://w3id.org/arkumu/roles/role-324</t>
  </si>
  <si>
    <t xml:space="preserve">Künstlerische:r Leiter:in</t>
  </si>
  <si>
    <t xml:space="preserve">Künstlerische Leiterin,Künstlerische Leitung,Künstlerischer Leiter</t>
  </si>
  <si>
    <t xml:space="preserve">Q1797162</t>
  </si>
  <si>
    <t xml:space="preserve">4444723-1</t>
  </si>
  <si>
    <t xml:space="preserve">Künstlerische Leiter:in</t>
  </si>
  <si>
    <t xml:space="preserve">http://w3id.org/arkumu/roles/role-325</t>
  </si>
  <si>
    <t xml:space="preserve">Kunstwissenschaftler:in</t>
  </si>
  <si>
    <t xml:space="preserve">Kunstwissenschaftler,Kunstwissenschaftlerin</t>
  </si>
  <si>
    <t xml:space="preserve">art scholar</t>
  </si>
  <si>
    <t xml:space="preserve">http://w3id.org/arkumu/roles/role-326</t>
  </si>
  <si>
    <t xml:space="preserve">Hochschullehrer:in</t>
  </si>
  <si>
    <t xml:space="preserve">Professor,Lehrerin im Hochschuldienst,Dozent,College-Professor,Hochschullehrer,College-Professorin,Hochschuldozent,Dozentin,Lehrkraft im Hochschuldienst,Lehrer im Hochschuldienst,Hochschuldozentin,Hochschullehrerin,Professorin</t>
  </si>
  <si>
    <t xml:space="preserve">university teacher</t>
  </si>
  <si>
    <t xml:space="preserve">4025243-7</t>
  </si>
  <si>
    <t xml:space="preserve">4160219-5</t>
  </si>
  <si>
    <t xml:space="preserve">Lehrer:in &gt; Hochschullehrer:in</t>
  </si>
  <si>
    <t xml:space="preserve">teacher &gt; university teacher</t>
  </si>
  <si>
    <t xml:space="preserve">http://w3id.org/arkumu/roles/role-327</t>
  </si>
  <si>
    <t xml:space="preserve">Sportlehrer:in</t>
  </si>
  <si>
    <t xml:space="preserve">Sportlehrer,Sportlehrerin,Sportpädagoge,Sportpädagogin,sports educator,gym teacher,physical education instructor,physical educator,PE teacher,P.E. teacher,sports teacher</t>
  </si>
  <si>
    <t xml:space="preserve">physical education teacher</t>
  </si>
  <si>
    <t xml:space="preserve">Q2312637</t>
  </si>
  <si>
    <t xml:space="preserve">4056397-2</t>
  </si>
  <si>
    <t xml:space="preserve">4330880-6</t>
  </si>
  <si>
    <t xml:space="preserve">Lehrer:in &gt; Sportlehrer:in</t>
  </si>
  <si>
    <t xml:space="preserve">teacher &gt; physical education teacher</t>
  </si>
  <si>
    <t xml:space="preserve">http://w3id.org/arkumu/roles/role-328</t>
  </si>
  <si>
    <t xml:space="preserve">Tanzlehrer:in</t>
  </si>
  <si>
    <t xml:space="preserve">Tanzlehrerin,Tanzlehrer</t>
  </si>
  <si>
    <t xml:space="preserve">dance teacher</t>
  </si>
  <si>
    <t xml:space="preserve">Q2393361</t>
  </si>
  <si>
    <t xml:space="preserve">4367572-4</t>
  </si>
  <si>
    <t xml:space="preserve">7621406-0</t>
  </si>
  <si>
    <t xml:space="preserve">Lehrer:in &gt; Sportlehrer:in &gt; Tanzlehrer:in</t>
  </si>
  <si>
    <t xml:space="preserve">teacher &gt; physical education teacher &gt; dance teacher</t>
  </si>
  <si>
    <t xml:space="preserve">http://w3id.org/arkumu/roles/role-329</t>
  </si>
  <si>
    <t xml:space="preserve">Logopäd:in</t>
  </si>
  <si>
    <t xml:space="preserve">Logopäde,Logopädin</t>
  </si>
  <si>
    <t xml:space="preserve">speech and language therapist</t>
  </si>
  <si>
    <t xml:space="preserve">Q11762416</t>
  </si>
  <si>
    <t xml:space="preserve">4131653-8</t>
  </si>
  <si>
    <t xml:space="preserve">7531629-8</t>
  </si>
  <si>
    <t xml:space="preserve">http://w3id.org/arkumu/roles/role-330</t>
  </si>
  <si>
    <t xml:space="preserve">Eventmanager:in</t>
  </si>
  <si>
    <t xml:space="preserve">Eventmamager,Eventmanagerin</t>
  </si>
  <si>
    <t xml:space="preserve">event manager</t>
  </si>
  <si>
    <t xml:space="preserve">Q88202606</t>
  </si>
  <si>
    <t xml:space="preserve">Manager:in &gt; Eventmanager:in</t>
  </si>
  <si>
    <t xml:space="preserve">manager &gt; event manager</t>
  </si>
  <si>
    <t xml:space="preserve">http://w3id.org/arkumu/roles/role-331</t>
  </si>
  <si>
    <t xml:space="preserve">Medienwissenschaftler:in</t>
  </si>
  <si>
    <t xml:space="preserve">Medienwissenschftler,Medienwissenschaftlerin</t>
  </si>
  <si>
    <t xml:space="preserve">media scholar</t>
  </si>
  <si>
    <t xml:space="preserve">Q6386271</t>
  </si>
  <si>
    <t xml:space="preserve">7636581-5</t>
  </si>
  <si>
    <t xml:space="preserve">7636582-7</t>
  </si>
  <si>
    <t xml:space="preserve">http://w3id.org/arkumu/roles/role-332</t>
  </si>
  <si>
    <t xml:space="preserve">Musicaldarsteller:in</t>
  </si>
  <si>
    <t xml:space="preserve">Musicaldarstellerin,Musical-Darstellerin,Musical-Darsteller,Musicaldarsteller</t>
  </si>
  <si>
    <t xml:space="preserve">musical theatre actor</t>
  </si>
  <si>
    <t xml:space="preserve">musical theater actor</t>
  </si>
  <si>
    <t xml:space="preserve">Q1954956</t>
  </si>
  <si>
    <t xml:space="preserve">4170790-4</t>
  </si>
  <si>
    <t xml:space="preserve">4565284-3</t>
  </si>
  <si>
    <t xml:space="preserve">http://w3id.org/arkumu/roles/role-333</t>
  </si>
  <si>
    <t xml:space="preserve">Bandleader:in</t>
  </si>
  <si>
    <t xml:space="preserve">Blasmusikleiter,Blasorchesterdirigentin,Bandleaderin,Blasmusikleiterin,Bandleader,Blasorchesterdirigent</t>
  </si>
  <si>
    <t xml:space="preserve">bandleader</t>
  </si>
  <si>
    <t xml:space="preserve">Q806349</t>
  </si>
  <si>
    <t xml:space="preserve">7628944-8</t>
  </si>
  <si>
    <t xml:space="preserve">Musiker:in &gt; Bandleader:in</t>
  </si>
  <si>
    <t xml:space="preserve">musician &gt; bandleader</t>
  </si>
  <si>
    <t xml:space="preserve">http://w3id.org/arkumu/roles/role-334</t>
  </si>
  <si>
    <t xml:space="preserve">Jazzmusiker:in</t>
  </si>
  <si>
    <t xml:space="preserve">Jazz-Musikerin,Jazz-Musiker,Jazzmusiker,Jazzmusikerin</t>
  </si>
  <si>
    <t xml:space="preserve">jazz musician</t>
  </si>
  <si>
    <t xml:space="preserve">Q15981151</t>
  </si>
  <si>
    <t xml:space="preserve">4028535-2</t>
  </si>
  <si>
    <t xml:space="preserve">4263647-4</t>
  </si>
  <si>
    <t xml:space="preserve">Musiker:in &gt; Jazzmusiker:in</t>
  </si>
  <si>
    <t xml:space="preserve">musician &gt; jazz musician</t>
  </si>
  <si>
    <t xml:space="preserve">http://w3id.org/arkumu/roles/role-335</t>
  </si>
  <si>
    <t xml:space="preserve">Musikethnolog:in</t>
  </si>
  <si>
    <t xml:space="preserve">Musikethnologin,Musikethnologe</t>
  </si>
  <si>
    <t xml:space="preserve">ethnomusicologist</t>
  </si>
  <si>
    <t xml:space="preserve">Q17484288</t>
  </si>
  <si>
    <t xml:space="preserve">7628911-4</t>
  </si>
  <si>
    <t xml:space="preserve">7628909-6</t>
  </si>
  <si>
    <t xml:space="preserve">Musikwissenschaftler:in &gt; Musikethnolog:in</t>
  </si>
  <si>
    <t xml:space="preserve">musicologist &gt; ethnomusicologist</t>
  </si>
  <si>
    <t xml:space="preserve">http://w3id.org/arkumu/roles/role-336</t>
  </si>
  <si>
    <t xml:space="preserve">Naturwissenschaftler:in</t>
  </si>
  <si>
    <t xml:space="preserve">Naturwissenschaftler,Naturforscher,Naturforscherin,Naturwissenschaftlerin</t>
  </si>
  <si>
    <t xml:space="preserve">natural scientist</t>
  </si>
  <si>
    <t xml:space="preserve">Q18805</t>
  </si>
  <si>
    <t xml:space="preserve">4041423-1</t>
  </si>
  <si>
    <t xml:space="preserve">4202451-1</t>
  </si>
  <si>
    <t xml:space="preserve">http://w3id.org/arkumu/roles/role-337</t>
  </si>
  <si>
    <t xml:space="preserve">Chemiker:in</t>
  </si>
  <si>
    <t xml:space="preserve">Chemikerin,Chemiker</t>
  </si>
  <si>
    <t xml:space="preserve">chemist</t>
  </si>
  <si>
    <t xml:space="preserve">Q593644</t>
  </si>
  <si>
    <t xml:space="preserve">4009836-9</t>
  </si>
  <si>
    <t xml:space="preserve">4219058-7</t>
  </si>
  <si>
    <t xml:space="preserve">Naturwissenschaftler:in &gt; Chemiker:in</t>
  </si>
  <si>
    <t xml:space="preserve">natural scientist &gt; chemist</t>
  </si>
  <si>
    <t xml:space="preserve">http://w3id.org/arkumu/roles/role-338</t>
  </si>
  <si>
    <t xml:space="preserve">Neurobiolog:in</t>
  </si>
  <si>
    <t xml:space="preserve">Neurobiologin</t>
  </si>
  <si>
    <t xml:space="preserve">neurobiologist</t>
  </si>
  <si>
    <t xml:space="preserve">Q20739288</t>
  </si>
  <si>
    <t xml:space="preserve">http://w3id.org/arkumu/roles/role-339</t>
  </si>
  <si>
    <t xml:space="preserve">Ökolog:in</t>
  </si>
  <si>
    <t xml:space="preserve">Ökologe,Oekologin,Ökologin,Oekologe</t>
  </si>
  <si>
    <t xml:space="preserve">ecologist</t>
  </si>
  <si>
    <t xml:space="preserve">Q15839134</t>
  </si>
  <si>
    <t xml:space="preserve">4172403-3</t>
  </si>
  <si>
    <t xml:space="preserve">7721049-9</t>
  </si>
  <si>
    <t xml:space="preserve">http://w3id.org/arkumu/roles/role-340</t>
  </si>
  <si>
    <t xml:space="preserve">Pädagog:in</t>
  </si>
  <si>
    <t xml:space="preserve">Pädagogin,Erziehungswissenschaftlerin,Pädagogen,Erziehungswissenschaftler</t>
  </si>
  <si>
    <t xml:space="preserve">pedagogue</t>
  </si>
  <si>
    <t xml:space="preserve">Q1231865</t>
  </si>
  <si>
    <t xml:space="preserve">4044300-0</t>
  </si>
  <si>
    <t xml:space="preserve">4135404-7</t>
  </si>
  <si>
    <t xml:space="preserve">http://w3id.org/arkumu/roles/role-341</t>
  </si>
  <si>
    <t xml:space="preserve">Politikwissenschaftler:in</t>
  </si>
  <si>
    <t xml:space="preserve">Politologe,Politikwissenschaftlerin,Politikwissenschaftler,Politologin</t>
  </si>
  <si>
    <t xml:space="preserve">political scientist</t>
  </si>
  <si>
    <t xml:space="preserve">Q1238570</t>
  </si>
  <si>
    <t xml:space="preserve">4175053-6</t>
  </si>
  <si>
    <t xml:space="preserve">4629643-8</t>
  </si>
  <si>
    <t xml:space="preserve">http://w3id.org/arkumu/roles/role-342</t>
  </si>
  <si>
    <t xml:space="preserve">Praktikant:in</t>
  </si>
  <si>
    <t xml:space="preserve">Praktikantin,Praktikant</t>
  </si>
  <si>
    <t xml:space="preserve">intern</t>
  </si>
  <si>
    <t xml:space="preserve">Q315625</t>
  </si>
  <si>
    <t xml:space="preserve">4225052-3</t>
  </si>
  <si>
    <t xml:space="preserve">4826648-6</t>
  </si>
  <si>
    <t xml:space="preserve">http://w3id.org/arkumu/roles/role-343</t>
  </si>
  <si>
    <t xml:space="preserve">Produktionsassistent:in</t>
  </si>
  <si>
    <t xml:space="preserve">assistant producer</t>
  </si>
  <si>
    <t xml:space="preserve">Q19952916</t>
  </si>
  <si>
    <t xml:space="preserve">Produktionsleiter:in &gt; Produktionsassistent:in</t>
  </si>
  <si>
    <t xml:space="preserve">supervising producer &gt; assistant producer</t>
  </si>
  <si>
    <t xml:space="preserve">http://w3id.org/arkumu/roles/role-344</t>
  </si>
  <si>
    <t xml:space="preserve">Programmierer:in</t>
  </si>
  <si>
    <t xml:space="preserve">Programmiererin,Programmierer,Software-Programmiererin,Computer-Programmiererin,Computer-Programmierer,Software-Programmierer</t>
  </si>
  <si>
    <t xml:space="preserve">programmer</t>
  </si>
  <si>
    <t xml:space="preserve">Q5482740</t>
  </si>
  <si>
    <t xml:space="preserve">4175854-7</t>
  </si>
  <si>
    <t xml:space="preserve">4714952-8</t>
  </si>
  <si>
    <t xml:space="preserve">http://w3id.org/arkumu/roles/role-345</t>
  </si>
  <si>
    <t xml:space="preserve">Psycholog:in</t>
  </si>
  <si>
    <t xml:space="preserve">Psychologe,Psychologin</t>
  </si>
  <si>
    <t xml:space="preserve">psychologist</t>
  </si>
  <si>
    <t xml:space="preserve">Q212980</t>
  </si>
  <si>
    <t xml:space="preserve">4176224-1</t>
  </si>
  <si>
    <t xml:space="preserve">4047701-0</t>
  </si>
  <si>
    <t xml:space="preserve">http://w3id.org/arkumu/roles/role-346</t>
  </si>
  <si>
    <t xml:space="preserve">Psychotherapeut:in</t>
  </si>
  <si>
    <t xml:space="preserve">Psychotherapeutin,Psychotherapeut</t>
  </si>
  <si>
    <t xml:space="preserve">psychotherapist</t>
  </si>
  <si>
    <t xml:space="preserve">Q1900167</t>
  </si>
  <si>
    <t xml:space="preserve">4047743-5</t>
  </si>
  <si>
    <t xml:space="preserve">4301430-6</t>
  </si>
  <si>
    <t xml:space="preserve">http://w3id.org/arkumu/roles/role-347</t>
  </si>
  <si>
    <t xml:space="preserve">Musiktherapeut:in</t>
  </si>
  <si>
    <t xml:space="preserve">Musiktherapeutin,Musiktherapeut</t>
  </si>
  <si>
    <t xml:space="preserve">music therapist</t>
  </si>
  <si>
    <t xml:space="preserve">Q10334002</t>
  </si>
  <si>
    <t xml:space="preserve">4040877-2</t>
  </si>
  <si>
    <t xml:space="preserve">7626008-2</t>
  </si>
  <si>
    <t xml:space="preserve">Psychotherapeut:in &gt; Musiktherapeut:in</t>
  </si>
  <si>
    <t xml:space="preserve">psychotherapist &gt; music therapist</t>
  </si>
  <si>
    <t xml:space="preserve">http://w3id.org/arkumu/roles/role-348</t>
  </si>
  <si>
    <t xml:space="preserve">Publizist:in</t>
  </si>
  <si>
    <t xml:space="preserve">Publizist,Meinungsjournalist,Meinungsjounalistin,Publizistin</t>
  </si>
  <si>
    <t xml:space="preserve">opinion journalist</t>
  </si>
  <si>
    <t xml:space="preserve">Q6051619</t>
  </si>
  <si>
    <t xml:space="preserve">4176310-5</t>
  </si>
  <si>
    <t xml:space="preserve">4381669-1</t>
  </si>
  <si>
    <t xml:space="preserve">http://w3id.org/arkumu/roles/role-349</t>
  </si>
  <si>
    <t xml:space="preserve">Raumplaner:in</t>
  </si>
  <si>
    <t xml:space="preserve">Raumplanerin,Raumplaner</t>
  </si>
  <si>
    <t xml:space="preserve">spatial planner</t>
  </si>
  <si>
    <t xml:space="preserve">Q51792960</t>
  </si>
  <si>
    <t xml:space="preserve">4177079-1</t>
  </si>
  <si>
    <t xml:space="preserve">7540453-9</t>
  </si>
  <si>
    <t xml:space="preserve">http://w3id.org/arkumu/roles/role-350</t>
  </si>
  <si>
    <t xml:space="preserve">Schriftsetzer:in</t>
  </si>
  <si>
    <t xml:space="preserve">Setzerin,Setzer</t>
  </si>
  <si>
    <t xml:space="preserve">typesetter</t>
  </si>
  <si>
    <t xml:space="preserve">Q4108101</t>
  </si>
  <si>
    <t xml:space="preserve">4180006-0</t>
  </si>
  <si>
    <t xml:space="preserve">4246313-0</t>
  </si>
  <si>
    <t xml:space="preserve">http://w3id.org/arkumu/roles/role-351</t>
  </si>
  <si>
    <t xml:space="preserve">Musikschriftsteller:in</t>
  </si>
  <si>
    <t xml:space="preserve">Musikschriftstellerin,Musikschriftsteller</t>
  </si>
  <si>
    <t xml:space="preserve">musicographer</t>
  </si>
  <si>
    <t xml:space="preserve">Q61996872</t>
  </si>
  <si>
    <t xml:space="preserve">4398800-3</t>
  </si>
  <si>
    <t xml:space="preserve">7628949-7</t>
  </si>
  <si>
    <t xml:space="preserve">Autor:in &gt; Schriftsteller:in &gt; Musikschriftsteller:in</t>
  </si>
  <si>
    <t xml:space="preserve">author &gt; writer &gt; musicographer</t>
  </si>
  <si>
    <t xml:space="preserve">http://w3id.org/arkumu/roles/role-352</t>
  </si>
  <si>
    <t xml:space="preserve">Soufflage</t>
  </si>
  <si>
    <t xml:space="preserve">Einhelferin,Souffleuse,Souffleur,Soufflieren,Einhelfer</t>
  </si>
  <si>
    <t xml:space="preserve">prompter</t>
  </si>
  <si>
    <t xml:space="preserve">Q1126281</t>
  </si>
  <si>
    <t xml:space="preserve">4226250-1</t>
  </si>
  <si>
    <t xml:space="preserve">4226251-3</t>
  </si>
  <si>
    <t xml:space="preserve">http://w3id.org/arkumu/roles/role-353</t>
  </si>
  <si>
    <t xml:space="preserve">Soziolog:in</t>
  </si>
  <si>
    <t xml:space="preserve">Soziologe,Soziologin,Sozialwissenschaftler,Sozialwissenschaftlerin</t>
  </si>
  <si>
    <t xml:space="preserve">sociologist</t>
  </si>
  <si>
    <t xml:space="preserve">Q2306091</t>
  </si>
  <si>
    <t xml:space="preserve">4055930-0</t>
  </si>
  <si>
    <t xml:space="preserve">4393865-6</t>
  </si>
  <si>
    <t xml:space="preserve">http://w3id.org/arkumu/roles/role-354</t>
  </si>
  <si>
    <t xml:space="preserve">Kultursoziolog:in</t>
  </si>
  <si>
    <t xml:space="preserve">Kultursoziologin,Kultursoziologe</t>
  </si>
  <si>
    <t xml:space="preserve">cultural sociologist</t>
  </si>
  <si>
    <t xml:space="preserve">Q61831758</t>
  </si>
  <si>
    <t xml:space="preserve">4398833-7</t>
  </si>
  <si>
    <t xml:space="preserve">128686352X</t>
  </si>
  <si>
    <t xml:space="preserve">Soziolog:in &gt; Kultursoziolog:in</t>
  </si>
  <si>
    <t xml:space="preserve">sociologist &gt; cultural sociologist</t>
  </si>
  <si>
    <t xml:space="preserve">http://w3id.org/arkumu/roles/role-355</t>
  </si>
  <si>
    <t xml:space="preserve">Sportler:in</t>
  </si>
  <si>
    <t xml:space="preserve">Sportlerin,Sportler</t>
  </si>
  <si>
    <t xml:space="preserve">athlete</t>
  </si>
  <si>
    <t xml:space="preserve">Q2066131</t>
  </si>
  <si>
    <t xml:space="preserve">4056399-6</t>
  </si>
  <si>
    <t xml:space="preserve">4137547-6</t>
  </si>
  <si>
    <t xml:space="preserve">http://w3id.org/arkumu/roles/role-356</t>
  </si>
  <si>
    <t xml:space="preserve">Bergsteiger:in</t>
  </si>
  <si>
    <t xml:space="preserve">Bergsteiger,Alpinist,Bergsteigerin,Alpinistin</t>
  </si>
  <si>
    <t xml:space="preserve">mountaineer</t>
  </si>
  <si>
    <t xml:space="preserve">Q9149093</t>
  </si>
  <si>
    <t xml:space="preserve">4005695-8</t>
  </si>
  <si>
    <t xml:space="preserve">4368388-5</t>
  </si>
  <si>
    <t xml:space="preserve">Sportler:in &gt; Bergsteiger:in</t>
  </si>
  <si>
    <t xml:space="preserve">athlete &gt; mountaineer</t>
  </si>
  <si>
    <t xml:space="preserve">http://w3id.org/arkumu/roles/role-357</t>
  </si>
  <si>
    <t xml:space="preserve">Kampfsportler:in</t>
  </si>
  <si>
    <t xml:space="preserve">Kampfsportler,Kampfsportlerin</t>
  </si>
  <si>
    <t xml:space="preserve">martial artist</t>
  </si>
  <si>
    <t xml:space="preserve">Q11124885</t>
  </si>
  <si>
    <t xml:space="preserve">4395925-8</t>
  </si>
  <si>
    <t xml:space="preserve">Sportler:in &gt; Kampfsportler:in</t>
  </si>
  <si>
    <t xml:space="preserve">athlete &gt; martial artist</t>
  </si>
  <si>
    <t xml:space="preserve">http://w3id.org/arkumu/roles/role-358</t>
  </si>
  <si>
    <t xml:space="preserve">Sprecherzieher:in</t>
  </si>
  <si>
    <t xml:space="preserve">Sprechtrainerin,Sprecherzieher,Sprechtrainer,Sprecherzieherin</t>
  </si>
  <si>
    <t xml:space="preserve">speech trainer</t>
  </si>
  <si>
    <t xml:space="preserve">Q87709273</t>
  </si>
  <si>
    <t xml:space="preserve">http://w3id.org/arkumu/roles/role-359</t>
  </si>
  <si>
    <t xml:space="preserve">Steuerfachangestellte:r</t>
  </si>
  <si>
    <t xml:space="preserve">Stuerfachgehilfe,Steuerfachangestellte,Steuerfachangestellter,Steuerfachgehilfin</t>
  </si>
  <si>
    <t xml:space="preserve">tax consultant</t>
  </si>
  <si>
    <t xml:space="preserve">Q2346491</t>
  </si>
  <si>
    <t xml:space="preserve">4183190-1</t>
  </si>
  <si>
    <t xml:space="preserve">http://w3id.org/arkumu/roles/role-360</t>
  </si>
  <si>
    <t xml:space="preserve">Technische:r Direktor:in</t>
  </si>
  <si>
    <t xml:space="preserve">Technische Direktorin,Technischer Direktor,Technical Director</t>
  </si>
  <si>
    <t xml:space="preserve">technical director</t>
  </si>
  <si>
    <t xml:space="preserve">Q2399424</t>
  </si>
  <si>
    <t xml:space="preserve">Techniker:in &gt; Technische:r Direktor:in</t>
  </si>
  <si>
    <t xml:space="preserve">technician &gt; technical director</t>
  </si>
  <si>
    <t xml:space="preserve">http://w3id.org/arkumu/roles/role-361</t>
  </si>
  <si>
    <t xml:space="preserve">Tontechniker:in</t>
  </si>
  <si>
    <t xml:space="preserve">Tontechnikerin,Tontechniker</t>
  </si>
  <si>
    <t xml:space="preserve">audio technician</t>
  </si>
  <si>
    <t xml:space="preserve">Q2442329</t>
  </si>
  <si>
    <t xml:space="preserve">7639004-4</t>
  </si>
  <si>
    <t xml:space="preserve">7655984-1</t>
  </si>
  <si>
    <t xml:space="preserve">Techniker:in &gt; Tontechniker:in</t>
  </si>
  <si>
    <t xml:space="preserve">technician &gt; audio technician</t>
  </si>
  <si>
    <t xml:space="preserve">http://w3id.org/arkumu/roles/role-362</t>
  </si>
  <si>
    <t xml:space="preserve">Veranstaltungstechniker:in</t>
  </si>
  <si>
    <t xml:space="preserve">Veranstaltungstechniker,Veranstaltungstechnikerin</t>
  </si>
  <si>
    <t xml:space="preserve">event technician</t>
  </si>
  <si>
    <t xml:space="preserve">Q1391386</t>
  </si>
  <si>
    <t xml:space="preserve">Techniker:in &gt; Veranstaltungstechniker:in</t>
  </si>
  <si>
    <t xml:space="preserve">technician &gt; event technician</t>
  </si>
  <si>
    <t xml:space="preserve">http://w3id.org/arkumu/roles/role-363</t>
  </si>
  <si>
    <t xml:space="preserve">Theatermacher:in</t>
  </si>
  <si>
    <t xml:space="preserve">Bühnenschaffender,Theaterschaffender,Theaterschaffende,Theatermacher,Bühnenschaffende,Theatermacherin</t>
  </si>
  <si>
    <t xml:space="preserve">theatre maker</t>
  </si>
  <si>
    <t xml:space="preserve">theater maker</t>
  </si>
  <si>
    <t xml:space="preserve">Q47492700</t>
  </si>
  <si>
    <t xml:space="preserve">http://w3id.org/arkumu/roles/role-364</t>
  </si>
  <si>
    <t xml:space="preserve">Inspizient:in</t>
  </si>
  <si>
    <t xml:space="preserve">Inspizientin,Inspizient</t>
  </si>
  <si>
    <t xml:space="preserve">stage manager</t>
  </si>
  <si>
    <t xml:space="preserve">Q64825422</t>
  </si>
  <si>
    <t xml:space="preserve">Theatermacher:in &gt; Inspizient:in</t>
  </si>
  <si>
    <t xml:space="preserve">theatre maker &gt; stage manager</t>
  </si>
  <si>
    <t xml:space="preserve">http://w3id.org/arkumu/roles/role-365</t>
  </si>
  <si>
    <t xml:space="preserve">Theaterwissenschaftler:in</t>
  </si>
  <si>
    <t xml:space="preserve">Theaterwissenschaftlerin,Theaterwissenschaftler</t>
  </si>
  <si>
    <t xml:space="preserve">theatrologist</t>
  </si>
  <si>
    <t xml:space="preserve">Q10379007</t>
  </si>
  <si>
    <t xml:space="preserve">4614675-1</t>
  </si>
  <si>
    <t xml:space="preserve">4778053-8</t>
  </si>
  <si>
    <t xml:space="preserve">http://w3id.org/arkumu/roles/role-366</t>
  </si>
  <si>
    <t xml:space="preserve">Theolog:in</t>
  </si>
  <si>
    <t xml:space="preserve">Theologin,Theologe</t>
  </si>
  <si>
    <t xml:space="preserve">theologian</t>
  </si>
  <si>
    <t xml:space="preserve">Q1234713</t>
  </si>
  <si>
    <t xml:space="preserve">4059756-8</t>
  </si>
  <si>
    <t xml:space="preserve">4138249-3</t>
  </si>
  <si>
    <t xml:space="preserve">http://w3id.org/arkumu/roles/role-367</t>
  </si>
  <si>
    <t xml:space="preserve">Tischler:in</t>
  </si>
  <si>
    <t xml:space="preserve">Tischler,Zimmerin,Zimmerer,Tischlerin</t>
  </si>
  <si>
    <t xml:space="preserve">carpenter</t>
  </si>
  <si>
    <t xml:space="preserve">Q154549</t>
  </si>
  <si>
    <t xml:space="preserve">4125471-5</t>
  </si>
  <si>
    <t xml:space="preserve">4288284-9</t>
  </si>
  <si>
    <t xml:space="preserve">http://w3id.org/arkumu/roles/role-368</t>
  </si>
  <si>
    <t xml:space="preserve">Tonassistent:in</t>
  </si>
  <si>
    <t xml:space="preserve">boom operator</t>
  </si>
  <si>
    <t xml:space="preserve">fishpole operator,perchwoman,tape operator,perchman</t>
  </si>
  <si>
    <t xml:space="preserve">Q373709</t>
  </si>
  <si>
    <t xml:space="preserve">http://w3id.org/arkumu/roles/role-369</t>
  </si>
  <si>
    <t xml:space="preserve">Travestie</t>
  </si>
  <si>
    <t xml:space="preserve">travesti</t>
  </si>
  <si>
    <t xml:space="preserve">Q16764901</t>
  </si>
  <si>
    <t xml:space="preserve">4185968-6</t>
  </si>
  <si>
    <t xml:space="preserve">http://w3id.org/arkumu/roles/role-370</t>
  </si>
  <si>
    <t xml:space="preserve">Dragqueen</t>
  </si>
  <si>
    <t xml:space="preserve">drag queen</t>
  </si>
  <si>
    <t xml:space="preserve">Q337084</t>
  </si>
  <si>
    <t xml:space="preserve">Travestie &gt; Dragqueen</t>
  </si>
  <si>
    <t xml:space="preserve">travesti &gt; drag queen</t>
  </si>
  <si>
    <t xml:space="preserve">http://w3id.org/arkumu/roles/role-371</t>
  </si>
  <si>
    <t xml:space="preserve">Unterstützer:in</t>
  </si>
  <si>
    <t xml:space="preserve">Unterstützer,Unterstützerin</t>
  </si>
  <si>
    <t xml:space="preserve">participant</t>
  </si>
  <si>
    <t xml:space="preserve">Q105906860</t>
  </si>
  <si>
    <t xml:space="preserve">http://w3id.org/arkumu/roles/role-372</t>
  </si>
  <si>
    <t xml:space="preserve">Visagist:in</t>
  </si>
  <si>
    <t xml:space="preserve">Make-Up-Artist,Visagistin,Visagist</t>
  </si>
  <si>
    <t xml:space="preserve">visagiste</t>
  </si>
  <si>
    <t xml:space="preserve">Q21653400</t>
  </si>
  <si>
    <t xml:space="preserve">4735464-1</t>
  </si>
  <si>
    <t xml:space="preserve">4735465-3</t>
  </si>
  <si>
    <t xml:space="preserve">http://w3id.org/arkumu/roles/role-373</t>
  </si>
  <si>
    <t xml:space="preserve">Vorsitzende:r</t>
  </si>
  <si>
    <t xml:space="preserve">Landesvorsitzende,Bundesvorsitzende,Obmann,Landesvorsitzender,Vorsitz,Vorsitzende,Direktor,erster Vorsitzender,Generaldirektorin,Chairman,Parteichef,Direktorin,erste Vorsitzende,Bundesvorsitzender,Präsident,Präsidentin,Vorsitzender,Generaldirektor,Parteichefin</t>
  </si>
  <si>
    <t xml:space="preserve">chairperson</t>
  </si>
  <si>
    <t xml:space="preserve">Q140686</t>
  </si>
  <si>
    <t xml:space="preserve">4188716-5</t>
  </si>
  <si>
    <t xml:space="preserve">http://w3id.org/arkumu/roles/role-374</t>
  </si>
  <si>
    <t xml:space="preserve">Werkstattleiter:in</t>
  </si>
  <si>
    <t xml:space="preserve">Werkstattleiterin,Werkstattleiter</t>
  </si>
  <si>
    <t xml:space="preserve">workshop manager</t>
  </si>
  <si>
    <t xml:space="preserve">Q83437238</t>
  </si>
  <si>
    <t xml:space="preserve">http://w3id.org/arkumu/roles/role-375</t>
  </si>
  <si>
    <t xml:space="preserve">Wirtschaftswissenschaftler:in</t>
  </si>
  <si>
    <t xml:space="preserve">Wirtschaftsfachmann,Wirtschaftsfachfrau,Ökonomin,Wirtschaftswissenschaftler,Ökonomikerin,Ökonom,Ökonomiker,Wirtschaftswissenschaftlerin</t>
  </si>
  <si>
    <t xml:space="preserve">economist</t>
  </si>
  <si>
    <t xml:space="preserve">Q188094</t>
  </si>
  <si>
    <t xml:space="preserve">4066533-1</t>
  </si>
  <si>
    <t xml:space="preserve">4270482-0</t>
  </si>
  <si>
    <t xml:space="preserve">http://w3id.org/arkumu/roles/role-376</t>
  </si>
  <si>
    <t xml:space="preserve">Yogalehrer:in</t>
  </si>
  <si>
    <t xml:space="preserve">Yogalehrer,Yogalehrerin</t>
  </si>
  <si>
    <t xml:space="preserve">yoga instructor</t>
  </si>
  <si>
    <t xml:space="preserve">Q2600526</t>
  </si>
  <si>
    <t xml:space="preserve">4190423-0</t>
  </si>
  <si>
    <t xml:space="preserve">7627790-2</t>
  </si>
  <si>
    <t xml:space="preserve">http://w3id.org/arkumu/roles/role-377</t>
  </si>
  <si>
    <t xml:space="preserve">Zoolog:in</t>
  </si>
  <si>
    <t xml:space="preserve">Zoologin,Zoologe</t>
  </si>
  <si>
    <t xml:space="preserve">zoologist</t>
  </si>
  <si>
    <t xml:space="preserve">Q350979</t>
  </si>
  <si>
    <t xml:space="preserve">4398977-9</t>
  </si>
  <si>
    <t xml:space="preserve">7537890-5</t>
  </si>
  <si>
    <t xml:space="preserve">http://w3id.org/arkumu/roles/role-378</t>
  </si>
  <si>
    <t xml:space="preserve">Architekt:in</t>
  </si>
  <si>
    <t xml:space="preserve">Architektin,Architekt,Hochbau-Ingenieurin,Hochbau-Ingenieur</t>
  </si>
  <si>
    <t xml:space="preserve">architect</t>
  </si>
  <si>
    <t xml:space="preserve">Q42973</t>
  </si>
  <si>
    <t xml:space="preserve">4002844-6</t>
  </si>
  <si>
    <t xml:space="preserve">4131695-2</t>
  </si>
  <si>
    <t xml:space="preserve">http://w3id.org/arkumu/roles/role-379</t>
  </si>
  <si>
    <t xml:space="preserve">Technische Realisation</t>
  </si>
  <si>
    <t xml:space="preserve">Technische Umsetzung,Technische Realisierung</t>
  </si>
  <si>
    <t xml:space="preserve">technical realisation</t>
  </si>
  <si>
    <t xml:space="preserve">Q113057030</t>
  </si>
  <si>
    <t xml:space="preserve">http://w3id.org/arkumu/roles/role-380</t>
  </si>
  <si>
    <t xml:space="preserve">Kooperation</t>
  </si>
  <si>
    <t xml:space="preserve">cooperation</t>
  </si>
  <si>
    <t xml:space="preserve">Q380962</t>
  </si>
  <si>
    <t xml:space="preserve">http://w3id.org/arkumu/roles/role-381</t>
  </si>
  <si>
    <t xml:space="preserve">wissenschaftliche:r Mitarbeiter:in</t>
  </si>
  <si>
    <t xml:space="preserve">wissenschaftliche Mitarbeiterin,wissenschaftlicher Mitarbeiter,akademische Mitarbeiterin,akademischer Mitarbeiter</t>
  </si>
  <si>
    <t xml:space="preserve">research fellow</t>
  </si>
  <si>
    <t xml:space="preserve">Q1706722</t>
  </si>
  <si>
    <t xml:space="preserve">4066591-4</t>
  </si>
  <si>
    <t xml:space="preserve">7547571-6</t>
  </si>
  <si>
    <t xml:space="preserve">http://w3id.org/arkumu/roles/role-382</t>
  </si>
  <si>
    <t xml:space="preserve">Projektleiter:in</t>
  </si>
  <si>
    <t xml:space="preserve">Projektleiterin,Projektleiter,Projektmanagerin,Projektmanager</t>
  </si>
  <si>
    <t xml:space="preserve">project manager</t>
  </si>
  <si>
    <t xml:space="preserve">Q816432</t>
  </si>
  <si>
    <t xml:space="preserve">4175898-5</t>
  </si>
  <si>
    <t xml:space="preserve">http://w3id.org/arkumu/roles/role-383</t>
  </si>
  <si>
    <t xml:space="preserve">Mastering Studio</t>
  </si>
  <si>
    <t xml:space="preserve">mastering studio</t>
  </si>
  <si>
    <t xml:space="preserve">Q67604973</t>
  </si>
  <si>
    <t xml:space="preserve">http://w3id.org/arkumu/roles/role-384</t>
  </si>
  <si>
    <t xml:space="preserve">Buchhändler:in</t>
  </si>
  <si>
    <t xml:space="preserve">Buchhändler,Buchhändlerin</t>
  </si>
  <si>
    <t xml:space="preserve">bookseller</t>
  </si>
  <si>
    <t xml:space="preserve">book dealer,book seller</t>
  </si>
  <si>
    <t xml:space="preserve">Q998550</t>
  </si>
  <si>
    <t xml:space="preserve">4130948-0</t>
  </si>
  <si>
    <t xml:space="preserve">4352330-4</t>
  </si>
  <si>
    <t xml:space="preserve">http://w3id.org/arkumu/roles/role-385</t>
  </si>
  <si>
    <t xml:space="preserve">Grafiker:in</t>
  </si>
  <si>
    <t xml:space="preserve">Grafiker,Grafikerin,Graphiker,Graphikerin</t>
  </si>
  <si>
    <t xml:space="preserve">graphic artist</t>
  </si>
  <si>
    <t xml:space="preserve">graphical artist</t>
  </si>
  <si>
    <t xml:space="preserve">Q1925963</t>
  </si>
  <si>
    <t xml:space="preserve">Künstler:in &gt; Grafiker:in</t>
  </si>
  <si>
    <t xml:space="preserve">artist &gt; graphic artist</t>
  </si>
  <si>
    <t xml:space="preserve">http://w3id.org/arkumu/roles/role-386</t>
  </si>
  <si>
    <t xml:space="preserve">Model</t>
  </si>
  <si>
    <t xml:space="preserve">Mannequin,Künstlermodell,Modell</t>
  </si>
  <si>
    <t xml:space="preserve">model</t>
  </si>
  <si>
    <t xml:space="preserve">fashion model,sitter,poser</t>
  </si>
  <si>
    <t xml:space="preserve">Q4610556</t>
  </si>
  <si>
    <t xml:space="preserve">http://w3id.org/arkumu/roles/role-387</t>
  </si>
  <si>
    <t xml:space="preserve">Modedesigner:in</t>
  </si>
  <si>
    <t xml:space="preserve">Modeschöpfer,Modedesignerin,Modeschöpferin</t>
  </si>
  <si>
    <t xml:space="preserve">fashion designer</t>
  </si>
  <si>
    <t xml:space="preserve">couturier,clothing designer</t>
  </si>
  <si>
    <t xml:space="preserve">Q3501317</t>
  </si>
  <si>
    <t xml:space="preserve">4233568-1</t>
  </si>
  <si>
    <t xml:space="preserve">4499835-1</t>
  </si>
  <si>
    <t xml:space="preserve">Designer:in &gt; Modedesigner:in</t>
  </si>
  <si>
    <t xml:space="preserve">designer &gt; fashion designer</t>
  </si>
  <si>
    <t xml:space="preserve">http://w3id.org/arkumu/roles/role-388</t>
  </si>
  <si>
    <t xml:space="preserve">Tanzwissenschaftler:in</t>
  </si>
  <si>
    <t xml:space="preserve">Tanzwissenschaftler,Tanzwissenschaftlerin</t>
  </si>
  <si>
    <t xml:space="preserve">dance researcher</t>
  </si>
  <si>
    <t xml:space="preserve">dance scholar,scholar of dance</t>
  </si>
  <si>
    <t xml:space="preserve">Q107381512</t>
  </si>
  <si>
    <t xml:space="preserve">http://w3id.org/arkumu/roles/role-389</t>
  </si>
  <si>
    <t xml:space="preserve">Zeichner:in</t>
  </si>
  <si>
    <t xml:space="preserve">Zeichnerin,Zeichner,Autorin der Zeichnung,Autor der Zeichnung</t>
  </si>
  <si>
    <t xml:space="preserve">draftsperson</t>
  </si>
  <si>
    <t xml:space="preserve">drafter,illustrator,draftswoman,draftsman,draughtswoman,draughtsman,master draughtsman,sketcher,sketch artist,author of the drawing,drawer (artist),drawer</t>
  </si>
  <si>
    <t xml:space="preserve">Q15296811</t>
  </si>
  <si>
    <t xml:space="preserve">4200345-3</t>
  </si>
  <si>
    <t xml:space="preserve">4394819-4</t>
  </si>
  <si>
    <t xml:space="preserve">Künstler:in &gt; Grafiker:in &gt; Zeichner:in</t>
  </si>
  <si>
    <t xml:space="preserve">artist &gt; graphic artist &gt; draftsperson</t>
  </si>
  <si>
    <t xml:space="preserve">http://w3id.org/arkumu/roles/role-390</t>
  </si>
  <si>
    <t xml:space="preserve">Comiczeichner:in</t>
  </si>
  <si>
    <t xml:space="preserve">Comiczeichnerin,Comiczeichner,Comickünstlerin,Comickünster,Letterer</t>
  </si>
  <si>
    <t xml:space="preserve">comics artist</t>
  </si>
  <si>
    <t xml:space="preserve">comic book creator,comic illustrator,comic book artist,comic artist,comic strip artist,graphic novel artist,letterer</t>
  </si>
  <si>
    <t xml:space="preserve">Q715301</t>
  </si>
  <si>
    <t xml:space="preserve">Künstler:in &gt; Grafiker:in &gt; Comiczeichner:in</t>
  </si>
  <si>
    <t xml:space="preserve">artist &gt; graphic artist &gt; comics artist</t>
  </si>
  <si>
    <t xml:space="preserve">http://w3id.org/arkumu/roles/role-391</t>
  </si>
  <si>
    <t xml:space="preserve">Tätowierer:in</t>
  </si>
  <si>
    <t xml:space="preserve">Tätowiererin,Tätowierer</t>
  </si>
  <si>
    <t xml:space="preserve">tattoo artist</t>
  </si>
  <si>
    <t xml:space="preserve">tattooer,tattooist</t>
  </si>
  <si>
    <t xml:space="preserve">Q1861368</t>
  </si>
  <si>
    <t xml:space="preserve">7730337-4</t>
  </si>
  <si>
    <t xml:space="preserve">7730339-8</t>
  </si>
  <si>
    <t xml:space="preserve">http://w3id.org/arkumu/roles/role-392</t>
  </si>
  <si>
    <t xml:space="preserve">Location Manager:in</t>
  </si>
  <si>
    <t xml:space="preserve">location manager</t>
  </si>
  <si>
    <t xml:space="preserve">location director</t>
  </si>
  <si>
    <t xml:space="preserve">Q1093536</t>
  </si>
  <si>
    <t xml:space="preserve">http://w3id.org/arkumu/roles/role-393</t>
  </si>
  <si>
    <t xml:space="preserve">Kognitionswissenschaftler:in</t>
  </si>
  <si>
    <t xml:space="preserve">cognitive scientist</t>
  </si>
  <si>
    <t xml:space="preserve">cognitivist</t>
  </si>
  <si>
    <t xml:space="preserve">Q14565186</t>
  </si>
  <si>
    <t xml:space="preserve">7557940-6</t>
  </si>
  <si>
    <t xml:space="preserve">7704905-6</t>
  </si>
  <si>
    <t xml:space="preserve">http://w3id.org/arkumu/roles/role-394</t>
  </si>
  <si>
    <t xml:space="preserve">Mathematiker:in</t>
  </si>
  <si>
    <t xml:space="preserve">Dipl.-Math.</t>
  </si>
  <si>
    <t xml:space="preserve">mathematician</t>
  </si>
  <si>
    <t xml:space="preserve">Q170790</t>
  </si>
  <si>
    <t xml:space="preserve">4037945-0</t>
  </si>
  <si>
    <t xml:space="preserve">4252788-0</t>
  </si>
  <si>
    <t xml:space="preserve">http://w3id.org/arkumu/roles/role-395</t>
  </si>
  <si>
    <t xml:space="preserve">Bildingenieur:in</t>
  </si>
  <si>
    <t xml:space="preserve">Medieningenieur:in</t>
  </si>
  <si>
    <t xml:space="preserve">video engineer</t>
  </si>
  <si>
    <t xml:space="preserve">Q10429552</t>
  </si>
  <si>
    <t xml:space="preserve">http://w3id.org/arkumu/roles/role-396</t>
  </si>
  <si>
    <t xml:space="preserve">Bildmischer:in</t>
  </si>
  <si>
    <t xml:space="preserve">video mixer</t>
  </si>
  <si>
    <t xml:space="preserve">video operator</t>
  </si>
  <si>
    <t xml:space="preserve">http://w3id.org/arkumu/roles/role-397</t>
  </si>
  <si>
    <t xml:space="preserve">Hörfunkmoderator:in</t>
  </si>
  <si>
    <t xml:space="preserve">Radiomoderator,Hörfunkmoderatorin,Radiomoderatorin,Rundfunkmoderator</t>
  </si>
  <si>
    <t xml:space="preserve">radio personality</t>
  </si>
  <si>
    <t xml:space="preserve">radio presenter,host,radio host,radio jockey,radio program boss,RJ</t>
  </si>
  <si>
    <t xml:space="preserve">Q2722764</t>
  </si>
  <si>
    <t xml:space="preserve">http://w3id.org/arkumu/roles/role-398</t>
  </si>
  <si>
    <t xml:space="preserve">VFX Producer:in</t>
  </si>
  <si>
    <t xml:space="preserve">VFX producer</t>
  </si>
  <si>
    <t xml:space="preserve">Q1364080</t>
  </si>
  <si>
    <t xml:space="preserve">http://w3id.org/arkumu/roles/role-399</t>
  </si>
  <si>
    <t xml:space="preserve">VFX-Künstler:in</t>
  </si>
  <si>
    <t xml:space="preserve">Spezialeffekt-Künstler,Spezialeffektkünstler,Spezialeffekt-Künstlerin,Spezialeffektkünstlerin,VFX-Künstler</t>
  </si>
  <si>
    <t xml:space="preserve">VFX artist</t>
  </si>
  <si>
    <t xml:space="preserve">FX artist,visual effects artist,special effects technician</t>
  </si>
  <si>
    <t xml:space="preserve">Q21560152</t>
  </si>
  <si>
    <t xml:space="preserve">Künstler:in &gt; VFX-Künstler:in</t>
  </si>
  <si>
    <t xml:space="preserve">artist &gt; VFX-artist</t>
  </si>
  <si>
    <t xml:space="preserve">(to be determined)</t>
  </si>
  <si>
    <t xml:space="preserve">http://w3id.org/arkumu/roles/role-400</t>
  </si>
  <si>
    <t xml:space="preserve">Öffentlichkeitsarbeit</t>
  </si>
  <si>
    <t xml:space="preserve">public relations</t>
  </si>
  <si>
    <t xml:space="preserve">Q133080</t>
  </si>
  <si>
    <t xml:space="preserve">http://w3id.org/arkumu/roles/role-401</t>
  </si>
  <si>
    <t xml:space="preserve">Liedbegleitung</t>
  </si>
  <si>
    <t xml:space="preserve">Liedbegleiter,Liedbegleiterin</t>
  </si>
  <si>
    <t xml:space="preserve">song accompaniment</t>
  </si>
  <si>
    <t xml:space="preserve">song accompanist</t>
  </si>
  <si>
    <t xml:space="preserve">Q1824074</t>
  </si>
  <si>
    <t xml:space="preserve">4138438-6</t>
  </si>
  <si>
    <t xml:space="preserve">http://w3id.org/arkumu/roles/role-402</t>
  </si>
  <si>
    <t xml:space="preserve">Lehrbeauftragte:r</t>
  </si>
  <si>
    <t xml:space="preserve">Lehrbeauftragter,Lehrbeauftragte</t>
  </si>
  <si>
    <t xml:space="preserve">freelance instructor</t>
  </si>
  <si>
    <t xml:space="preserve">associate lecturer</t>
  </si>
  <si>
    <t xml:space="preserve">Q16538479</t>
  </si>
  <si>
    <t xml:space="preserve">4130594-2</t>
  </si>
  <si>
    <t xml:space="preserve">http://w3id.org/arkumu/roles/role-403</t>
  </si>
  <si>
    <t xml:space="preserve">Moderator:in</t>
  </si>
  <si>
    <t xml:space="preserve">Moderator,Moderatorin</t>
  </si>
  <si>
    <t xml:space="preserve">presenter</t>
  </si>
  <si>
    <t xml:space="preserve">Q13590141</t>
  </si>
  <si>
    <t xml:space="preserve">4170313-3</t>
  </si>
  <si>
    <t xml:space="preserve">4560593-2</t>
  </si>
  <si>
    <t xml:space="preserve">http://w3id.org/arkumu/roles/role-404</t>
  </si>
  <si>
    <t xml:space="preserve">Kirchenmusiker:in</t>
  </si>
  <si>
    <t xml:space="preserve">Kirchenmusiker,Kirchenmusikerin</t>
  </si>
  <si>
    <t xml:space="preserve">church musician</t>
  </si>
  <si>
    <t xml:space="preserve">Q355493</t>
  </si>
  <si>
    <t xml:space="preserve">4163926-1</t>
  </si>
  <si>
    <t xml:space="preserve">7587363-1</t>
  </si>
  <si>
    <t xml:space="preserve">http://w3id.org/arkumu/roles/role-405</t>
  </si>
  <si>
    <t xml:space="preserve">Klangregisseur:in</t>
  </si>
  <si>
    <t xml:space="preserve">sound director</t>
  </si>
  <si>
    <t xml:space="preserve">Q17322837</t>
  </si>
  <si>
    <t xml:space="preserve">http://w3id.org/arkumu/roles/role-406</t>
  </si>
  <si>
    <t xml:space="preserve">Wasserinstrumentspieler:in</t>
  </si>
  <si>
    <t xml:space="preserve">water instrument player</t>
  </si>
  <si>
    <t xml:space="preserve">Q140130459</t>
  </si>
  <si>
    <t xml:space="preserve">Musiker:in &gt; Wasserinstrumentspieler:in</t>
  </si>
  <si>
    <r>
      <rPr>
        <sz val="10"/>
        <rFont val="Ubuntu Sans"/>
        <family val="2"/>
      </rPr>
      <t xml:space="preserve">musician &gt; </t>
    </r>
    <r>
      <rPr>
        <sz val="10"/>
        <rFont val="Arial"/>
        <family val="2"/>
      </rPr>
      <t xml:space="preserve">water instrument player</t>
    </r>
  </si>
  <si>
    <t xml:space="preserve">http://w3id.org/arkumu/roles/role-407</t>
  </si>
  <si>
    <t xml:space="preserve">Synthesizer-Spieler:in</t>
  </si>
  <si>
    <t xml:space="preserve">synthesizer player</t>
  </si>
  <si>
    <t xml:space="preserve">Q11308619</t>
  </si>
  <si>
    <t xml:space="preserve">Musiker:in &gt; Synthesizer Spieler:in</t>
  </si>
  <si>
    <t xml:space="preserve">musician &gt; synthesizer player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</si>
</sst>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3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Ubuntu Sans"/>
      <family val="2"/>
      <charset val="1"/>
    </font>
    <font>
      <u val="single"/>
      <sz val="11"/>
      <color theme="10"/>
      <name val="Calibri"/>
      <family val="2"/>
    </font>
    <font>
      <u val="single"/>
      <sz val="10"/>
      <color theme="10"/>
      <name val="Ubuntu Sans"/>
      <family val="2"/>
      <charset val="1"/>
    </font>
    <font>
      <sz val="10"/>
      <color theme="1"/>
      <name val="Ubuntu Sans"/>
      <family val="2"/>
    </font>
    <font>
      <sz val="10"/>
      <name val="Ubuntu Sans"/>
      <family val="2"/>
    </font>
    <font>
      <b val="true"/>
      <sz val="10"/>
      <name val="Ubuntu Sans"/>
      <family val="2"/>
      <charset val="1"/>
    </font>
    <font>
      <b val="true"/>
      <sz val="10"/>
      <name val="Ubuntu Sans"/>
      <family val="2"/>
    </font>
    <font>
      <b val="true"/>
      <sz val="10"/>
      <name val="Arial"/>
      <family val="2"/>
    </font>
    <font>
      <b val="true"/>
      <sz val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4EA6B"/>
        <bgColor rgb="FFCCFFCC"/>
      </patternFill>
    </fill>
    <fill>
      <patternFill patternType="solid">
        <fgColor rgb="FFFFD8CE"/>
        <bgColor rgb="FFFED4BB"/>
      </patternFill>
    </fill>
    <fill>
      <patternFill patternType="solid">
        <fgColor rgb="FFDDDDDD"/>
        <bgColor rgb="FFFFD8CE"/>
      </patternFill>
    </fill>
    <fill>
      <patternFill patternType="solid">
        <fgColor theme="6" tint="0.7999"/>
        <bgColor rgb="FFFFD8CE"/>
      </patternFill>
    </fill>
    <fill>
      <patternFill patternType="solid">
        <fgColor rgb="FFFF4000"/>
        <bgColor rgb="FFFF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6">
    <dxf>
      <fill>
        <patternFill patternType="solid">
          <fgColor rgb="FFD4EA6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DDDDDD"/>
          <bgColor rgb="FF000000"/>
        </patternFill>
      </fill>
    </dxf>
    <dxf>
      <fill>
        <patternFill patternType="solid">
          <fgColor rgb="FFFFD8CE"/>
          <bgColor rgb="FF000000"/>
        </patternFill>
      </fill>
    </dxf>
    <dxf>
      <fill>
        <patternFill patternType="solid">
          <fgColor rgb="FFFED4BB"/>
          <bgColor rgb="FF000000"/>
        </patternFill>
      </fill>
    </dxf>
    <dxf>
      <fill>
        <patternFill patternType="solid">
          <fgColor rgb="FFFF4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D8CE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D4EA6B"/>
      <rgbColor rgb="FF99CCFF"/>
      <rgbColor rgb="FFFF99CC"/>
      <rgbColor rgb="FFCC99FF"/>
      <rgbColor rgb="FFFED4BB"/>
      <rgbColor rgb="FF3366FF"/>
      <rgbColor rgb="FF33CCCC"/>
      <rgbColor rgb="FF99CC00"/>
      <rgbColor rgb="FFFFCC00"/>
      <rgbColor rgb="FFFF9900"/>
      <rgbColor rgb="FFFF40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431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A8" activeCellId="0" sqref="A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5.29"/>
    <col collapsed="false" customWidth="true" hidden="false" outlineLevel="0" max="2" min="2" style="2" width="14.34"/>
    <col collapsed="false" customWidth="true" hidden="false" outlineLevel="0" max="3" min="3" style="2" width="13.4"/>
    <col collapsed="false" customWidth="true" hidden="false" outlineLevel="0" max="4" min="4" style="2" width="30.9"/>
    <col collapsed="false" customWidth="true" hidden="false" outlineLevel="0" max="5" min="5" style="2" width="37.49"/>
    <col collapsed="false" customWidth="true" hidden="false" outlineLevel="0" max="6" min="6" style="2" width="22.55"/>
    <col collapsed="false" customWidth="true" hidden="false" outlineLevel="0" max="7" min="7" style="2" width="39.1"/>
    <col collapsed="false" customWidth="true" hidden="false" outlineLevel="0" max="8" min="8" style="3" width="10.89"/>
    <col collapsed="false" customWidth="true" hidden="false" outlineLevel="0" max="9" min="9" style="2" width="39.97"/>
    <col collapsed="false" customWidth="true" hidden="false" outlineLevel="0" max="10" min="10" style="3" width="13.4"/>
    <col collapsed="false" customWidth="true" hidden="false" outlineLevel="0" max="11" min="11" style="2" width="29.42"/>
    <col collapsed="false" customWidth="true" hidden="false" outlineLevel="0" max="12" min="12" style="3" width="15.25"/>
    <col collapsed="false" customWidth="true" hidden="false" outlineLevel="0" max="13" min="13" style="2" width="29.42"/>
    <col collapsed="false" customWidth="true" hidden="false" outlineLevel="0" max="14" min="14" style="3" width="13.95"/>
    <col collapsed="false" customWidth="true" hidden="false" outlineLevel="0" max="15" min="15" style="2" width="27.96"/>
    <col collapsed="false" customWidth="true" hidden="false" outlineLevel="0" max="16" min="16" style="3" width="10.83"/>
    <col collapsed="false" customWidth="true" hidden="false" outlineLevel="0" max="17" min="17" style="2" width="34.26"/>
    <col collapsed="false" customWidth="true" hidden="false" outlineLevel="0" max="18" min="18" style="2" width="48.34"/>
    <col collapsed="false" customWidth="true" hidden="false" outlineLevel="0" max="19" min="19" style="2" width="55.05"/>
    <col collapsed="false" customWidth="true" hidden="false" outlineLevel="0" max="24" min="20" style="2" width="21.52"/>
    <col collapsed="false" customWidth="true" hidden="false" outlineLevel="0" max="25" min="25" style="2" width="21.82"/>
    <col collapsed="false" customWidth="true" hidden="false" outlineLevel="0" max="26" min="26" style="2" width="35.94"/>
    <col collapsed="false" customWidth="false" hidden="false" outlineLevel="0" max="27" min="27" style="2" width="11.53"/>
    <col collapsed="false" customWidth="false" hidden="false" outlineLevel="0" max="33" min="28" style="4" width="11.53"/>
    <col collapsed="false" customWidth="false" hidden="false" outlineLevel="0" max="16384" min="34" style="5" width="11.53"/>
  </cols>
  <sheetData>
    <row r="1" s="2" customFormat="true" ht="38.2" hidden="false" customHeight="false" outlineLevel="0" collapsed="false">
      <c r="A1" s="1" t="s">
        <v>0</v>
      </c>
      <c r="B1" s="3" t="s">
        <v>1</v>
      </c>
      <c r="D1" s="6"/>
      <c r="F1" s="7" t="s">
        <v>2</v>
      </c>
      <c r="H1" s="3"/>
      <c r="J1" s="3"/>
      <c r="L1" s="3"/>
      <c r="N1" s="3"/>
      <c r="P1" s="3"/>
      <c r="R1" s="8" t="s">
        <v>3</v>
      </c>
      <c r="S1" s="8" t="s">
        <v>3</v>
      </c>
      <c r="X1" s="9" t="s">
        <v>4</v>
      </c>
      <c r="AG1" s="10"/>
    </row>
    <row r="2" s="2" customFormat="true" ht="12.8" hidden="false" customHeight="false" outlineLevel="0" collapsed="false">
      <c r="A2" s="1" t="s">
        <v>5</v>
      </c>
      <c r="B2" s="11" t="s">
        <v>6</v>
      </c>
      <c r="F2" s="12" t="s">
        <v>7</v>
      </c>
      <c r="H2" s="3"/>
      <c r="J2" s="3"/>
      <c r="L2" s="3"/>
      <c r="N2" s="3"/>
      <c r="P2" s="3"/>
      <c r="AG2" s="4"/>
    </row>
    <row r="3" s="2" customFormat="true" ht="12.8" hidden="false" customHeight="false" outlineLevel="0" collapsed="false">
      <c r="A3" s="1" t="s">
        <v>8</v>
      </c>
      <c r="B3" s="11" t="s">
        <v>9</v>
      </c>
      <c r="F3" s="13" t="s">
        <v>10</v>
      </c>
      <c r="H3" s="3"/>
      <c r="J3" s="3"/>
      <c r="L3" s="3"/>
      <c r="N3" s="3"/>
      <c r="P3" s="3"/>
      <c r="AG3" s="4"/>
    </row>
    <row r="4" s="2" customFormat="true" ht="12.8" hidden="false" customHeight="false" outlineLevel="0" collapsed="false">
      <c r="A4" s="1" t="s">
        <v>11</v>
      </c>
      <c r="B4" s="14" t="s">
        <v>12</v>
      </c>
      <c r="C4" s="3" t="str">
        <f aca="false">CONCATENATE($B$1, "/")</f>
        <v>http://w3id.org/arkumu/roles/</v>
      </c>
      <c r="D4" s="4"/>
      <c r="H4" s="3"/>
      <c r="J4" s="3"/>
      <c r="L4" s="3"/>
      <c r="N4" s="3"/>
      <c r="P4" s="3"/>
      <c r="AG4" s="4"/>
    </row>
    <row r="5" s="2" customFormat="true" ht="12.8" hidden="false" customHeight="false" outlineLevel="0" collapsed="false">
      <c r="A5" s="1" t="s">
        <v>13</v>
      </c>
      <c r="B5" s="14" t="s">
        <v>1</v>
      </c>
      <c r="H5" s="3"/>
      <c r="J5" s="3"/>
      <c r="L5" s="3"/>
      <c r="N5" s="3"/>
      <c r="P5" s="3"/>
      <c r="AG5" s="4"/>
    </row>
    <row r="6" s="2" customFormat="true" ht="12.8" hidden="false" customHeight="false" outlineLevel="0" collapsed="false">
      <c r="A6" s="1" t="s">
        <v>14</v>
      </c>
      <c r="B6" s="14" t="s">
        <v>15</v>
      </c>
      <c r="D6" s="14"/>
      <c r="H6" s="3"/>
      <c r="J6" s="3"/>
      <c r="L6" s="3"/>
      <c r="N6" s="3"/>
      <c r="P6" s="3"/>
      <c r="AG6" s="4"/>
    </row>
    <row r="7" s="2" customFormat="true" ht="12.8" hidden="false" customHeight="false" outlineLevel="0" collapsed="false">
      <c r="A7" s="1" t="s">
        <v>16</v>
      </c>
      <c r="B7" s="14" t="s">
        <v>17</v>
      </c>
      <c r="D7" s="14"/>
      <c r="H7" s="3"/>
      <c r="J7" s="3"/>
      <c r="L7" s="3"/>
      <c r="N7" s="3"/>
      <c r="P7" s="3"/>
      <c r="AG7" s="4"/>
    </row>
    <row r="8" s="2" customFormat="true" ht="12.8" hidden="false" customHeight="false" outlineLevel="0" collapsed="false">
      <c r="A8" s="1" t="s">
        <v>18</v>
      </c>
      <c r="B8" s="15" t="n">
        <v>46185</v>
      </c>
      <c r="D8" s="14"/>
      <c r="H8" s="3"/>
      <c r="J8" s="3"/>
      <c r="L8" s="3"/>
      <c r="N8" s="3"/>
      <c r="P8" s="3"/>
      <c r="AG8" s="4"/>
    </row>
    <row r="9" s="2" customFormat="true" ht="12.8" hidden="false" customHeight="false" outlineLevel="0" collapsed="false">
      <c r="A9" s="1" t="s">
        <v>19</v>
      </c>
      <c r="B9" s="13" t="s">
        <v>20</v>
      </c>
      <c r="H9" s="3"/>
      <c r="J9" s="3"/>
      <c r="L9" s="3"/>
      <c r="N9" s="3"/>
      <c r="P9" s="3"/>
      <c r="AG9" s="4"/>
    </row>
    <row r="10" s="2" customFormat="true" ht="12.8" hidden="false" customHeight="false" outlineLevel="0" collapsed="false">
      <c r="A10" s="1" t="s">
        <v>21</v>
      </c>
      <c r="B10" s="3" t="s">
        <v>22</v>
      </c>
      <c r="H10" s="3"/>
      <c r="J10" s="3"/>
      <c r="L10" s="3"/>
      <c r="N10" s="3"/>
      <c r="P10" s="3"/>
      <c r="AG10" s="4"/>
    </row>
    <row r="11" s="2" customFormat="true" ht="12.8" hidden="false" customHeight="false" outlineLevel="0" collapsed="false">
      <c r="A11" s="1"/>
      <c r="H11" s="3"/>
      <c r="J11" s="3"/>
      <c r="L11" s="3"/>
      <c r="N11" s="3"/>
      <c r="P11" s="3"/>
      <c r="AG11" s="4"/>
    </row>
    <row r="12" s="2" customFormat="true" ht="13.65" hidden="false" customHeight="false" outlineLevel="0" collapsed="false">
      <c r="A12" s="1" t="s">
        <v>23</v>
      </c>
      <c r="B12" s="2" t="s">
        <v>24</v>
      </c>
      <c r="C12" s="2" t="s">
        <v>25</v>
      </c>
      <c r="D12" s="2" t="s">
        <v>26</v>
      </c>
      <c r="E12" s="2" t="s">
        <v>27</v>
      </c>
      <c r="F12" s="2" t="s">
        <v>28</v>
      </c>
      <c r="G12" s="2" t="s">
        <v>29</v>
      </c>
      <c r="H12" s="3" t="s">
        <v>30</v>
      </c>
      <c r="I12" s="16" t="s">
        <v>31</v>
      </c>
      <c r="J12" s="3" t="s">
        <v>32</v>
      </c>
      <c r="K12" s="17" t="s">
        <v>33</v>
      </c>
      <c r="L12" s="3" t="s">
        <v>34</v>
      </c>
      <c r="M12" s="17" t="s">
        <v>35</v>
      </c>
      <c r="N12" s="3" t="s">
        <v>36</v>
      </c>
      <c r="O12" s="16" t="s">
        <v>37</v>
      </c>
      <c r="P12" s="3" t="s">
        <v>38</v>
      </c>
      <c r="Q12" s="16" t="s">
        <v>39</v>
      </c>
      <c r="R12" s="2" t="s">
        <v>40</v>
      </c>
      <c r="S12" s="2" t="s">
        <v>41</v>
      </c>
      <c r="T12" s="18" t="s">
        <v>42</v>
      </c>
      <c r="U12" s="19" t="s">
        <v>43</v>
      </c>
      <c r="V12" s="19" t="s">
        <v>44</v>
      </c>
      <c r="W12" s="19" t="s">
        <v>45</v>
      </c>
      <c r="X12" s="2" t="s">
        <v>46</v>
      </c>
      <c r="Y12" s="2" t="s">
        <v>47</v>
      </c>
      <c r="AG12" s="4"/>
    </row>
    <row r="13" s="2" customFormat="true" ht="49.75" hidden="false" customHeight="false" outlineLevel="0" collapsed="false">
      <c r="A13" s="20" t="s">
        <v>23</v>
      </c>
      <c r="B13" s="16" t="s">
        <v>48</v>
      </c>
      <c r="C13" s="16" t="s">
        <v>49</v>
      </c>
      <c r="D13" s="16" t="s">
        <v>50</v>
      </c>
      <c r="E13" s="16" t="s">
        <v>51</v>
      </c>
      <c r="F13" s="16" t="s">
        <v>52</v>
      </c>
      <c r="G13" s="16" t="s">
        <v>53</v>
      </c>
      <c r="H13" s="21" t="s">
        <v>54</v>
      </c>
      <c r="I13" s="16" t="s">
        <v>55</v>
      </c>
      <c r="J13" s="21" t="s">
        <v>54</v>
      </c>
      <c r="K13" s="16" t="s">
        <v>55</v>
      </c>
      <c r="L13" s="21" t="s">
        <v>54</v>
      </c>
      <c r="M13" s="16" t="s">
        <v>55</v>
      </c>
      <c r="N13" s="21" t="s">
        <v>54</v>
      </c>
      <c r="O13" s="16" t="s">
        <v>55</v>
      </c>
      <c r="P13" s="21" t="s">
        <v>54</v>
      </c>
      <c r="Q13" s="16" t="s">
        <v>55</v>
      </c>
      <c r="R13" s="22" t="s">
        <v>54</v>
      </c>
      <c r="S13" s="22" t="s">
        <v>54</v>
      </c>
      <c r="T13" s="22" t="s">
        <v>54</v>
      </c>
      <c r="U13" s="22" t="s">
        <v>54</v>
      </c>
      <c r="V13" s="22" t="s">
        <v>54</v>
      </c>
      <c r="W13" s="22" t="s">
        <v>54</v>
      </c>
      <c r="X13" s="22" t="s">
        <v>54</v>
      </c>
      <c r="Y13" s="22" t="s">
        <v>54</v>
      </c>
      <c r="Z13" s="5"/>
      <c r="AA13" s="5"/>
      <c r="AB13" s="5"/>
      <c r="AG13" s="4"/>
    </row>
    <row r="14" s="2" customFormat="true" ht="12.8" hidden="false" customHeight="false" outlineLevel="0" collapsed="false">
      <c r="A14" s="1" t="s">
        <v>56</v>
      </c>
      <c r="B14" s="2" t="n">
        <v>1</v>
      </c>
      <c r="D14" s="2" t="s">
        <v>57</v>
      </c>
      <c r="E14" s="2" t="s">
        <v>58</v>
      </c>
      <c r="F14" s="2" t="s">
        <v>59</v>
      </c>
      <c r="G14" s="2" t="s">
        <v>60</v>
      </c>
      <c r="H14" s="3" t="s">
        <v>61</v>
      </c>
      <c r="I14" s="2" t="str">
        <f aca="false">CONCATENATE("http://www.wikidata.org/entity/",H14)</f>
        <v>http://www.wikidata.org/entity/Q1639269</v>
      </c>
      <c r="J14" s="3" t="n">
        <v>1037660862</v>
      </c>
      <c r="K14" s="2" t="str">
        <f aca="false">CONCATENATE("https://d-nb.info/gnd/",J14)</f>
        <v>https://d-nb.info/gnd/1037660862</v>
      </c>
      <c r="L14" s="3" t="n">
        <v>1037660951</v>
      </c>
      <c r="M14" s="2" t="str">
        <f aca="false">CONCATENATE("https://d-nb.info/gnd/",L14)</f>
        <v>https://d-nb.info/gnd/1037660951</v>
      </c>
      <c r="N14" s="3"/>
      <c r="P14" s="3"/>
      <c r="R14" s="2" t="s">
        <v>57</v>
      </c>
      <c r="S14" s="2" t="s">
        <v>59</v>
      </c>
      <c r="X14" s="2" t="n">
        <v>0</v>
      </c>
      <c r="Y14" s="2" t="n">
        <v>0</v>
      </c>
      <c r="AG14" s="4"/>
    </row>
    <row r="15" s="2" customFormat="true" ht="12.8" hidden="false" customHeight="false" outlineLevel="0" collapsed="false">
      <c r="A15" s="1" t="s">
        <v>62</v>
      </c>
      <c r="B15" s="2" t="n">
        <v>2</v>
      </c>
      <c r="D15" s="2" t="s">
        <v>63</v>
      </c>
      <c r="E15" s="2" t="s">
        <v>64</v>
      </c>
      <c r="F15" s="2" t="s">
        <v>65</v>
      </c>
      <c r="G15" s="2" t="s">
        <v>66</v>
      </c>
      <c r="H15" s="3" t="s">
        <v>67</v>
      </c>
      <c r="I15" s="2" t="str">
        <f aca="false">CONCATENATE("http://www.wikidata.org/entity/",H15)</f>
        <v>http://www.wikidata.org/entity/Q834381</v>
      </c>
      <c r="J15" s="3" t="n">
        <v>1037660862</v>
      </c>
      <c r="K15" s="2" t="str">
        <f aca="false">CONCATENATE("https://d-nb.info/gnd/",J15)</f>
        <v>https://d-nb.info/gnd/1037660862</v>
      </c>
      <c r="L15" s="3" t="n">
        <v>1037660951</v>
      </c>
      <c r="M15" s="2" t="str">
        <f aca="false">CONCATENATE("https://d-nb.info/gnd/",L15)</f>
        <v>https://d-nb.info/gnd/1037660951</v>
      </c>
      <c r="N15" s="3"/>
      <c r="P15" s="3"/>
      <c r="R15" s="2" t="s">
        <v>63</v>
      </c>
      <c r="S15" s="2" t="s">
        <v>65</v>
      </c>
      <c r="X15" s="2" t="n">
        <v>0</v>
      </c>
      <c r="Y15" s="2" t="n">
        <v>0</v>
      </c>
      <c r="AG15" s="4"/>
    </row>
    <row r="16" s="2" customFormat="true" ht="12.8" hidden="false" customHeight="false" outlineLevel="0" collapsed="false">
      <c r="A16" s="1" t="s">
        <v>68</v>
      </c>
      <c r="B16" s="2" t="n">
        <v>3</v>
      </c>
      <c r="D16" s="2" t="s">
        <v>69</v>
      </c>
      <c r="E16" s="2" t="s">
        <v>70</v>
      </c>
      <c r="F16" s="2" t="s">
        <v>71</v>
      </c>
      <c r="H16" s="3" t="s">
        <v>72</v>
      </c>
      <c r="I16" s="2" t="str">
        <f aca="false">CONCATENATE("http://www.wikidata.org/entity/",H16)</f>
        <v>http://www.wikidata.org/entity/Q508719</v>
      </c>
      <c r="J16" s="3" t="s">
        <v>73</v>
      </c>
      <c r="K16" s="2" t="str">
        <f aca="false">CONCATENATE("https://d-nb.info/gnd/",J16)</f>
        <v>https://d-nb.info/gnd/4191664-5</v>
      </c>
      <c r="L16" s="3" t="s">
        <v>74</v>
      </c>
      <c r="M16" s="2" t="str">
        <f aca="false">CONCATENATE("https://d-nb.info/gnd/",L16)</f>
        <v>https://d-nb.info/gnd/4273631-6</v>
      </c>
      <c r="N16" s="3"/>
      <c r="P16" s="3" t="n">
        <v>300197559</v>
      </c>
      <c r="Q16" s="2" t="str">
        <f aca="false">CONCATENATE("https://vocab.getty.edu/aat/",P16)</f>
        <v>https://vocab.getty.edu/aat/300197559</v>
      </c>
      <c r="R16" s="2" t="s">
        <v>69</v>
      </c>
      <c r="S16" s="2" t="s">
        <v>71</v>
      </c>
      <c r="X16" s="2" t="n">
        <v>0</v>
      </c>
      <c r="Y16" s="2" t="n">
        <v>0</v>
      </c>
      <c r="AG16" s="4"/>
    </row>
    <row r="17" s="2" customFormat="true" ht="12.8" hidden="false" customHeight="false" outlineLevel="0" collapsed="false">
      <c r="A17" s="1" t="s">
        <v>75</v>
      </c>
      <c r="B17" s="2" t="n">
        <v>4</v>
      </c>
      <c r="D17" s="2" t="s">
        <v>76</v>
      </c>
      <c r="E17" s="2" t="s">
        <v>77</v>
      </c>
      <c r="F17" s="2" t="s">
        <v>78</v>
      </c>
      <c r="G17" s="2" t="s">
        <v>79</v>
      </c>
      <c r="H17" s="3" t="s">
        <v>80</v>
      </c>
      <c r="I17" s="2" t="str">
        <f aca="false">CONCATENATE("http://www.wikidata.org/entity/",H17)</f>
        <v>http://www.wikidata.org/entity/Q1344174</v>
      </c>
      <c r="J17" s="3"/>
      <c r="L17" s="3"/>
      <c r="N17" s="3"/>
      <c r="P17" s="3" t="n">
        <v>300443852</v>
      </c>
      <c r="Q17" s="2" t="str">
        <f aca="false">CONCATENATE("https://vocab.getty.edu/aat/",P17)</f>
        <v>https://vocab.getty.edu/aat/300443852</v>
      </c>
      <c r="R17" s="2" t="s">
        <v>76</v>
      </c>
      <c r="S17" s="2" t="s">
        <v>78</v>
      </c>
      <c r="X17" s="2" t="n">
        <v>0</v>
      </c>
      <c r="Y17" s="2" t="n">
        <v>0</v>
      </c>
      <c r="AG17" s="4"/>
    </row>
    <row r="18" s="2" customFormat="true" ht="12.8" hidden="false" customHeight="false" outlineLevel="0" collapsed="false">
      <c r="A18" s="1" t="s">
        <v>81</v>
      </c>
      <c r="B18" s="2" t="n">
        <v>5</v>
      </c>
      <c r="D18" s="2" t="s">
        <v>82</v>
      </c>
      <c r="E18" s="2" t="s">
        <v>83</v>
      </c>
      <c r="F18" s="2" t="s">
        <v>84</v>
      </c>
      <c r="H18" s="3" t="s">
        <v>85</v>
      </c>
      <c r="I18" s="2" t="str">
        <f aca="false">CONCATENATE("http://www.wikidata.org/entity/",H18)</f>
        <v>http://www.wikidata.org/entity/Q455595</v>
      </c>
      <c r="J18" s="3" t="s">
        <v>86</v>
      </c>
      <c r="K18" s="2" t="str">
        <f aca="false">CONCATENATE("https://d-nb.info/gnd/",J18)</f>
        <v>https://d-nb.info/gnd/4142161-9</v>
      </c>
      <c r="L18" s="3"/>
      <c r="N18" s="3"/>
      <c r="P18" s="3"/>
      <c r="R18" s="2" t="s">
        <v>82</v>
      </c>
      <c r="S18" s="2" t="s">
        <v>84</v>
      </c>
      <c r="X18" s="2" t="n">
        <v>0</v>
      </c>
      <c r="Y18" s="2" t="n">
        <v>0</v>
      </c>
      <c r="AG18" s="4"/>
    </row>
    <row r="19" s="2" customFormat="true" ht="12.8" hidden="false" customHeight="false" outlineLevel="0" collapsed="false">
      <c r="A19" s="1" t="s">
        <v>87</v>
      </c>
      <c r="B19" s="2" t="n">
        <v>6</v>
      </c>
      <c r="D19" s="2" t="s">
        <v>88</v>
      </c>
      <c r="E19" s="2" t="s">
        <v>89</v>
      </c>
      <c r="F19" s="2" t="s">
        <v>90</v>
      </c>
      <c r="H19" s="3" t="s">
        <v>91</v>
      </c>
      <c r="I19" s="2" t="str">
        <f aca="false">CONCATENATE("http://www.wikidata.org/entity/",H19)</f>
        <v>http://www.wikidata.org/entity/Q266569</v>
      </c>
      <c r="J19" s="3" t="n">
        <v>1037485300</v>
      </c>
      <c r="K19" s="2" t="str">
        <f aca="false">CONCATENATE("https://d-nb.info/gnd/",J19)</f>
        <v>https://d-nb.info/gnd/1037485300</v>
      </c>
      <c r="L19" s="3" t="n">
        <v>1037485815</v>
      </c>
      <c r="M19" s="2" t="str">
        <f aca="false">CONCATENATE("https://d-nb.info/gnd/",L19)</f>
        <v>https://d-nb.info/gnd/1037485815</v>
      </c>
      <c r="N19" s="3"/>
      <c r="P19" s="3" t="n">
        <v>300025646</v>
      </c>
      <c r="Q19" s="2" t="str">
        <f aca="false">CONCATENATE("https://vocab.getty.edu/aat/",P19)</f>
        <v>https://vocab.getty.edu/aat/300025646</v>
      </c>
      <c r="R19" s="2" t="s">
        <v>92</v>
      </c>
      <c r="S19" s="2" t="s">
        <v>90</v>
      </c>
      <c r="X19" s="2" t="n">
        <v>0</v>
      </c>
      <c r="Y19" s="2" t="n">
        <v>0</v>
      </c>
      <c r="AG19" s="4"/>
    </row>
    <row r="20" s="2" customFormat="true" ht="12.8" hidden="false" customHeight="false" outlineLevel="0" collapsed="false">
      <c r="A20" s="1" t="s">
        <v>93</v>
      </c>
      <c r="B20" s="2" t="n">
        <v>7</v>
      </c>
      <c r="D20" s="2" t="s">
        <v>94</v>
      </c>
      <c r="E20" s="2" t="s">
        <v>95</v>
      </c>
      <c r="F20" s="2" t="s">
        <v>96</v>
      </c>
      <c r="H20" s="3" t="s">
        <v>97</v>
      </c>
      <c r="I20" s="2" t="str">
        <f aca="false">CONCATENATE("http://www.wikidata.org/entity/",H20)</f>
        <v>http://www.wikidata.org/entity/Q4773904</v>
      </c>
      <c r="J20" s="3" t="s">
        <v>98</v>
      </c>
      <c r="K20" s="2" t="str">
        <f aca="false">CONCATENATE("https://d-nb.info/gnd/",J20)</f>
        <v>https://d-nb.info/gnd/4142642-3</v>
      </c>
      <c r="L20" s="3" t="s">
        <v>99</v>
      </c>
      <c r="M20" s="2" t="str">
        <f aca="false">CONCATENATE("https://d-nb.info/gnd/",L20)</f>
        <v>https://d-nb.info/gnd/4254397-6</v>
      </c>
      <c r="N20" s="3"/>
      <c r="P20" s="3"/>
      <c r="R20" s="2" t="s">
        <v>94</v>
      </c>
      <c r="S20" s="2" t="s">
        <v>96</v>
      </c>
      <c r="X20" s="2" t="n">
        <v>0</v>
      </c>
      <c r="Y20" s="2" t="n">
        <v>0</v>
      </c>
      <c r="AG20" s="4"/>
    </row>
    <row r="21" s="2" customFormat="true" ht="12.8" hidden="false" customHeight="false" outlineLevel="0" collapsed="false">
      <c r="A21" s="1" t="s">
        <v>100</v>
      </c>
      <c r="B21" s="2" t="n">
        <v>8</v>
      </c>
      <c r="D21" s="2" t="s">
        <v>101</v>
      </c>
      <c r="E21" s="2" t="s">
        <v>102</v>
      </c>
      <c r="F21" s="2" t="s">
        <v>103</v>
      </c>
      <c r="H21" s="3" t="s">
        <v>104</v>
      </c>
      <c r="I21" s="2" t="str">
        <f aca="false">CONCATENATE("http://www.wikidata.org/entity/",H21)</f>
        <v>http://www.wikidata.org/entity/Q3621491</v>
      </c>
      <c r="J21" s="3" t="s">
        <v>105</v>
      </c>
      <c r="K21" s="2" t="str">
        <f aca="false">CONCATENATE("https://d-nb.info/gnd/",J21)</f>
        <v>https://d-nb.info/gnd/4191824-1</v>
      </c>
      <c r="L21" s="3" t="s">
        <v>106</v>
      </c>
      <c r="M21" s="2" t="str">
        <f aca="false">CONCATENATE("https://d-nb.info/gnd/",L21)</f>
        <v>https://d-nb.info/gnd/4361365-2</v>
      </c>
      <c r="N21" s="3"/>
      <c r="P21" s="3" t="n">
        <v>300025486</v>
      </c>
      <c r="Q21" s="2" t="str">
        <f aca="false">CONCATENATE("https://vocab.getty.edu/aat/",P21)</f>
        <v>https://vocab.getty.edu/aat/300025486</v>
      </c>
      <c r="R21" s="2" t="s">
        <v>101</v>
      </c>
      <c r="S21" s="2" t="s">
        <v>103</v>
      </c>
      <c r="X21" s="2" t="n">
        <v>0</v>
      </c>
      <c r="Y21" s="2" t="n">
        <v>0</v>
      </c>
      <c r="AG21" s="4"/>
    </row>
    <row r="22" s="2" customFormat="true" ht="12.8" hidden="false" customHeight="false" outlineLevel="0" collapsed="false">
      <c r="A22" s="1" t="s">
        <v>107</v>
      </c>
      <c r="B22" s="2" t="n">
        <v>9</v>
      </c>
      <c r="D22" s="2" t="s">
        <v>108</v>
      </c>
      <c r="E22" s="2" t="s">
        <v>109</v>
      </c>
      <c r="F22" s="2" t="s">
        <v>110</v>
      </c>
      <c r="H22" s="3" t="s">
        <v>111</v>
      </c>
      <c r="I22" s="2" t="str">
        <f aca="false">CONCATENATE("http://www.wikidata.org/entity/",H22)</f>
        <v>http://www.wikidata.org/entity/Q635734</v>
      </c>
      <c r="J22" s="3" t="s">
        <v>112</v>
      </c>
      <c r="K22" s="2" t="str">
        <f aca="false">CONCATENATE("https://d-nb.info/gnd/",J22)</f>
        <v>https://d-nb.info/gnd/4002865-3</v>
      </c>
      <c r="L22" s="3" t="s">
        <v>113</v>
      </c>
      <c r="M22" s="2" t="str">
        <f aca="false">CONCATENATE("https://d-nb.info/gnd/",L22)</f>
        <v>https://d-nb.info/gnd/4874302-1</v>
      </c>
      <c r="N22" s="3"/>
      <c r="P22" s="3" t="n">
        <v>300162133</v>
      </c>
      <c r="Q22" s="2" t="str">
        <f aca="false">CONCATENATE("https://vocab.getty.edu/aat/",P22)</f>
        <v>https://vocab.getty.edu/aat/300162133</v>
      </c>
      <c r="R22" s="2" t="s">
        <v>108</v>
      </c>
      <c r="S22" s="2" t="s">
        <v>110</v>
      </c>
      <c r="X22" s="2" t="n">
        <v>0</v>
      </c>
      <c r="Y22" s="2" t="n">
        <v>0</v>
      </c>
      <c r="AG22" s="4"/>
    </row>
    <row r="23" s="2" customFormat="true" ht="12.8" hidden="false" customHeight="false" outlineLevel="0" collapsed="false">
      <c r="A23" s="1" t="s">
        <v>114</v>
      </c>
      <c r="B23" s="2" t="n">
        <v>10</v>
      </c>
      <c r="D23" s="2" t="s">
        <v>115</v>
      </c>
      <c r="E23" s="2" t="s">
        <v>116</v>
      </c>
      <c r="F23" s="2" t="s">
        <v>117</v>
      </c>
      <c r="H23" s="3" t="s">
        <v>118</v>
      </c>
      <c r="I23" s="2" t="str">
        <f aca="false">CONCATENATE("http://www.wikidata.org/entity/",H23)</f>
        <v>http://www.wikidata.org/entity/Q1643514</v>
      </c>
      <c r="J23" s="3" t="s">
        <v>119</v>
      </c>
      <c r="K23" s="2" t="str">
        <f aca="false">CONCATENATE("https://d-nb.info/gnd/",J23)</f>
        <v>https://d-nb.info/gnd/4604119-9</v>
      </c>
      <c r="L23" s="3" t="s">
        <v>120</v>
      </c>
      <c r="M23" s="2" t="str">
        <f aca="false">CONCATENATE("https://d-nb.info/gnd/",L23)</f>
        <v>https://d-nb.info/gnd/7712885-0</v>
      </c>
      <c r="N23" s="3"/>
      <c r="P23" s="3"/>
      <c r="R23" s="2" t="s">
        <v>115</v>
      </c>
      <c r="S23" s="2" t="s">
        <v>117</v>
      </c>
      <c r="X23" s="2" t="n">
        <v>0</v>
      </c>
      <c r="Y23" s="2" t="n">
        <v>0</v>
      </c>
      <c r="AG23" s="4"/>
    </row>
    <row r="24" s="2" customFormat="true" ht="12.8" hidden="false" customHeight="false" outlineLevel="0" collapsed="false">
      <c r="A24" s="1" t="s">
        <v>121</v>
      </c>
      <c r="B24" s="2" t="n">
        <v>11</v>
      </c>
      <c r="D24" s="2" t="s">
        <v>122</v>
      </c>
      <c r="E24" s="2" t="s">
        <v>123</v>
      </c>
      <c r="F24" s="2" t="s">
        <v>124</v>
      </c>
      <c r="G24" s="2" t="s">
        <v>125</v>
      </c>
      <c r="H24" s="3" t="s">
        <v>126</v>
      </c>
      <c r="I24" s="2" t="str">
        <f aca="false">CONCATENATE("http://www.wikidata.org/entity/",H24)</f>
        <v>http://www.wikidata.org/entity/Q39631</v>
      </c>
      <c r="J24" s="3" t="s">
        <v>127</v>
      </c>
      <c r="K24" s="2" t="str">
        <f aca="false">CONCATENATE("https://d-nb.info/gnd/",J24)</f>
        <v>https://d-nb.info/gnd/4003157-3</v>
      </c>
      <c r="L24" s="3" t="s">
        <v>128</v>
      </c>
      <c r="M24" s="2" t="str">
        <f aca="false">CONCATENATE("https://d-nb.info/gnd/",L24)</f>
        <v>https://d-nb.info/gnd/4140665-5</v>
      </c>
      <c r="N24" s="3"/>
      <c r="P24" s="3" t="n">
        <v>300025809</v>
      </c>
      <c r="Q24" s="2" t="str">
        <f aca="false">CONCATENATE("https://vocab.getty.edu/aat/",P24)</f>
        <v>https://vocab.getty.edu/aat/300025809</v>
      </c>
      <c r="R24" s="2" t="s">
        <v>122</v>
      </c>
      <c r="S24" s="2" t="s">
        <v>124</v>
      </c>
      <c r="X24" s="2" t="n">
        <v>0</v>
      </c>
      <c r="Y24" s="2" t="n">
        <v>0</v>
      </c>
      <c r="AG24" s="4"/>
    </row>
    <row r="25" s="2" customFormat="true" ht="12.8" hidden="false" customHeight="false" outlineLevel="0" collapsed="false">
      <c r="A25" s="1" t="s">
        <v>129</v>
      </c>
      <c r="B25" s="2" t="n">
        <v>12</v>
      </c>
      <c r="C25" s="2" t="n">
        <v>11</v>
      </c>
      <c r="D25" s="2" t="s">
        <v>130</v>
      </c>
      <c r="E25" s="2" t="s">
        <v>131</v>
      </c>
      <c r="F25" s="2" t="s">
        <v>132</v>
      </c>
      <c r="H25" s="3" t="s">
        <v>133</v>
      </c>
      <c r="I25" s="2" t="str">
        <f aca="false">CONCATENATE("http://www.wikidata.org/entity/",H25)</f>
        <v>http://www.wikidata.org/entity/Q12013238</v>
      </c>
      <c r="J25" s="3" t="s">
        <v>134</v>
      </c>
      <c r="K25" s="2" t="str">
        <f aca="false">CONCATENATE("https://d-nb.info/gnd/",J25)</f>
        <v>https://d-nb.info/gnd/4003579-7</v>
      </c>
      <c r="L25" s="3" t="s">
        <v>135</v>
      </c>
      <c r="M25" s="2" t="str">
        <f aca="false">CONCATENATE("https://d-nb.info/gnd/",L25)</f>
        <v>https://d-nb.info/gnd/7555959-6</v>
      </c>
      <c r="N25" s="3"/>
      <c r="P25" s="3" t="n">
        <v>300237241</v>
      </c>
      <c r="Q25" s="2" t="str">
        <f aca="false">CONCATENATE("https://vocab.getty.edu/aat/",P25)</f>
        <v>https://vocab.getty.edu/aat/300237241</v>
      </c>
      <c r="R25" s="2" t="s">
        <v>136</v>
      </c>
      <c r="S25" s="2" t="s">
        <v>137</v>
      </c>
      <c r="X25" s="2" t="n">
        <v>0</v>
      </c>
      <c r="Y25" s="2" t="n">
        <v>0</v>
      </c>
      <c r="AG25" s="4"/>
    </row>
    <row r="26" s="2" customFormat="true" ht="12.8" hidden="false" customHeight="false" outlineLevel="0" collapsed="false">
      <c r="A26" s="1" t="s">
        <v>138</v>
      </c>
      <c r="B26" s="2" t="n">
        <v>13</v>
      </c>
      <c r="D26" s="2" t="s">
        <v>139</v>
      </c>
      <c r="E26" s="2" t="s">
        <v>140</v>
      </c>
      <c r="F26" s="2" t="s">
        <v>141</v>
      </c>
      <c r="H26" s="3" t="s">
        <v>142</v>
      </c>
      <c r="I26" s="2" t="str">
        <f aca="false">CONCATENATE("http://www.wikidata.org/entity/",H26)</f>
        <v>http://www.wikidata.org/entity/Q23835475</v>
      </c>
      <c r="J26" s="3" t="s">
        <v>143</v>
      </c>
      <c r="K26" s="2" t="str">
        <f aca="false">CONCATENATE("https://d-nb.info/gnd/",J26)</f>
        <v>https://d-nb.info/gnd/4348052-4</v>
      </c>
      <c r="L26" s="3" t="n">
        <v>1077104391</v>
      </c>
      <c r="M26" s="2" t="str">
        <f aca="false">CONCATENATE("https://d-nb.info/gnd/",L26)</f>
        <v>https://d-nb.info/gnd/1077104391</v>
      </c>
      <c r="N26" s="3"/>
      <c r="P26" s="3"/>
      <c r="R26" s="2" t="s">
        <v>139</v>
      </c>
      <c r="S26" s="2" t="s">
        <v>141</v>
      </c>
      <c r="X26" s="2" t="n">
        <v>0</v>
      </c>
      <c r="Y26" s="2" t="n">
        <v>0</v>
      </c>
      <c r="AG26" s="4"/>
    </row>
    <row r="27" s="2" customFormat="true" ht="12.8" hidden="false" customHeight="false" outlineLevel="0" collapsed="false">
      <c r="A27" s="1" t="s">
        <v>144</v>
      </c>
      <c r="B27" s="2" t="n">
        <v>14</v>
      </c>
      <c r="D27" s="2" t="s">
        <v>145</v>
      </c>
      <c r="E27" s="2" t="s">
        <v>146</v>
      </c>
      <c r="F27" s="2" t="s">
        <v>147</v>
      </c>
      <c r="H27" s="3" t="s">
        <v>148</v>
      </c>
      <c r="I27" s="2" t="str">
        <f aca="false">CONCATENATE("http://www.wikidata.org/entity/",H27)</f>
        <v>http://www.wikidata.org/entity/Q123096251</v>
      </c>
      <c r="J27" s="3"/>
      <c r="L27" s="3"/>
      <c r="N27" s="3"/>
      <c r="P27" s="3"/>
      <c r="R27" s="2" t="s">
        <v>145</v>
      </c>
      <c r="S27" s="2" t="s">
        <v>147</v>
      </c>
      <c r="X27" s="2" t="n">
        <v>0</v>
      </c>
      <c r="Y27" s="2" t="n">
        <v>0</v>
      </c>
      <c r="AG27" s="4"/>
    </row>
    <row r="28" s="2" customFormat="true" ht="12.8" hidden="false" customHeight="false" outlineLevel="0" collapsed="false">
      <c r="A28" s="1" t="s">
        <v>149</v>
      </c>
      <c r="B28" s="2" t="n">
        <v>15</v>
      </c>
      <c r="D28" s="2" t="s">
        <v>150</v>
      </c>
      <c r="E28" s="2" t="s">
        <v>151</v>
      </c>
      <c r="F28" s="2" t="s">
        <v>152</v>
      </c>
      <c r="H28" s="3" t="s">
        <v>153</v>
      </c>
      <c r="I28" s="2" t="str">
        <f aca="false">CONCATENATE("http://www.wikidata.org/entity/",H28)</f>
        <v>http://www.wikidata.org/entity/Q18535215</v>
      </c>
      <c r="J28" s="3" t="s">
        <v>154</v>
      </c>
      <c r="K28" s="2" t="str">
        <f aca="false">CONCATENATE("https://d-nb.info/gnd/",J28)</f>
        <v>https://d-nb.info/gnd/4402399-6</v>
      </c>
      <c r="L28" s="3" t="n">
        <v>1031802835</v>
      </c>
      <c r="M28" s="2" t="str">
        <f aca="false">CONCATENATE("https://d-nb.info/gnd/",L28)</f>
        <v>https://d-nb.info/gnd/1031802835</v>
      </c>
      <c r="N28" s="3"/>
      <c r="P28" s="3"/>
      <c r="R28" s="2" t="s">
        <v>150</v>
      </c>
      <c r="S28" s="2" t="s">
        <v>152</v>
      </c>
      <c r="X28" s="2" t="n">
        <v>0</v>
      </c>
      <c r="Y28" s="2" t="n">
        <v>0</v>
      </c>
      <c r="AG28" s="4"/>
    </row>
    <row r="29" s="2" customFormat="true" ht="12.8" hidden="false" customHeight="false" outlineLevel="0" collapsed="false">
      <c r="A29" s="1" t="s">
        <v>155</v>
      </c>
      <c r="B29" s="2" t="n">
        <v>16</v>
      </c>
      <c r="C29" s="2" t="n">
        <v>15</v>
      </c>
      <c r="D29" s="2" t="s">
        <v>156</v>
      </c>
      <c r="E29" s="2" t="s">
        <v>157</v>
      </c>
      <c r="F29" s="2" t="s">
        <v>158</v>
      </c>
      <c r="G29" s="2" t="s">
        <v>159</v>
      </c>
      <c r="H29" s="3" t="s">
        <v>160</v>
      </c>
      <c r="I29" s="2" t="str">
        <f aca="false">CONCATENATE("http://www.wikidata.org/entity/",H29)</f>
        <v>http://www.wikidata.org/entity/Q2442108</v>
      </c>
      <c r="J29" s="3" t="s">
        <v>161</v>
      </c>
      <c r="K29" s="2" t="str">
        <f aca="false">CONCATENATE("https://d-nb.info/gnd/",J29)</f>
        <v>https://d-nb.info/gnd/4375554-9</v>
      </c>
      <c r="L29" s="3" t="s">
        <v>162</v>
      </c>
      <c r="M29" s="2" t="str">
        <f aca="false">CONCATENATE("https://d-nb.info/gnd/",L29)</f>
        <v>https://d-nb.info/gnd/7859952-0</v>
      </c>
      <c r="N29" s="3"/>
      <c r="P29" s="3"/>
      <c r="R29" s="2" t="s">
        <v>163</v>
      </c>
      <c r="S29" s="2" t="s">
        <v>164</v>
      </c>
      <c r="X29" s="2" t="n">
        <v>0</v>
      </c>
      <c r="Y29" s="2" t="n">
        <v>0</v>
      </c>
      <c r="AG29" s="4"/>
    </row>
    <row r="30" s="2" customFormat="true" ht="12.8" hidden="false" customHeight="false" outlineLevel="0" collapsed="false">
      <c r="A30" s="1" t="s">
        <v>165</v>
      </c>
      <c r="B30" s="2" t="n">
        <v>17</v>
      </c>
      <c r="D30" s="2" t="s">
        <v>166</v>
      </c>
      <c r="E30" s="2" t="s">
        <v>167</v>
      </c>
      <c r="F30" s="2" t="s">
        <v>168</v>
      </c>
      <c r="H30" s="3" t="s">
        <v>169</v>
      </c>
      <c r="I30" s="2" t="str">
        <f aca="false">CONCATENATE("http://www.wikidata.org/entity/",H30)</f>
        <v>http://www.wikidata.org/entity/Q760086</v>
      </c>
      <c r="J30" s="3" t="s">
        <v>170</v>
      </c>
      <c r="K30" s="2" t="str">
        <f aca="false">CONCATENATE("https://d-nb.info/gnd/",J30)</f>
        <v>https://d-nb.info/gnd/4143425-0</v>
      </c>
      <c r="L30" s="3" t="n">
        <v>1097662985</v>
      </c>
      <c r="M30" s="2" t="str">
        <f aca="false">CONCATENATE("https://d-nb.info/gnd/",L30)</f>
        <v>https://d-nb.info/gnd/1097662985</v>
      </c>
      <c r="N30" s="3"/>
      <c r="P30" s="3" t="n">
        <v>300400903</v>
      </c>
      <c r="Q30" s="2" t="str">
        <f aca="false">CONCATENATE("https://vocab.getty.edu/aat/",P30)</f>
        <v>https://vocab.getty.edu/aat/300400903</v>
      </c>
      <c r="R30" s="2" t="s">
        <v>166</v>
      </c>
      <c r="S30" s="2" t="s">
        <v>168</v>
      </c>
      <c r="X30" s="2" t="n">
        <v>0</v>
      </c>
      <c r="Y30" s="2" t="n">
        <v>0</v>
      </c>
      <c r="AG30" s="4"/>
    </row>
    <row r="31" s="2" customFormat="true" ht="12.8" hidden="false" customHeight="false" outlineLevel="0" collapsed="false">
      <c r="A31" s="1" t="s">
        <v>171</v>
      </c>
      <c r="B31" s="2" t="n">
        <v>18</v>
      </c>
      <c r="D31" s="2" t="s">
        <v>172</v>
      </c>
      <c r="E31" s="2" t="s">
        <v>173</v>
      </c>
      <c r="F31" s="2" t="s">
        <v>174</v>
      </c>
      <c r="H31" s="3" t="s">
        <v>175</v>
      </c>
      <c r="I31" s="2" t="str">
        <f aca="false">CONCATENATE("http://www.wikidata.org/entity/",H31)</f>
        <v>http://www.wikidata.org/entity/Q482980</v>
      </c>
      <c r="J31" s="3" t="s">
        <v>176</v>
      </c>
      <c r="K31" s="2" t="str">
        <f aca="false">CONCATENATE("https://d-nb.info/gnd/",J31)</f>
        <v>https://d-nb.info/gnd/4003982-1</v>
      </c>
      <c r="L31" s="3" t="s">
        <v>177</v>
      </c>
      <c r="M31" s="2" t="str">
        <f aca="false">CONCATENATE("https://d-nb.info/gnd/",L31)</f>
        <v>https://d-nb.info/gnd/4258697-5</v>
      </c>
      <c r="N31" s="3"/>
      <c r="P31" s="3" t="n">
        <v>300025492</v>
      </c>
      <c r="Q31" s="2" t="str">
        <f aca="false">CONCATENATE("https://vocab.getty.edu/aat/",P31)</f>
        <v>https://vocab.getty.edu/aat/300025492</v>
      </c>
      <c r="R31" s="2" t="s">
        <v>172</v>
      </c>
      <c r="S31" s="2" t="s">
        <v>174</v>
      </c>
      <c r="X31" s="2" t="n">
        <v>1</v>
      </c>
      <c r="Y31" s="2" t="n">
        <v>0</v>
      </c>
      <c r="AG31" s="4"/>
    </row>
    <row r="32" s="2" customFormat="true" ht="12.8" hidden="false" customHeight="false" outlineLevel="0" collapsed="false">
      <c r="A32" s="1" t="s">
        <v>178</v>
      </c>
      <c r="B32" s="2" t="n">
        <v>19</v>
      </c>
      <c r="C32" s="2" t="n">
        <v>18</v>
      </c>
      <c r="D32" s="2" t="s">
        <v>179</v>
      </c>
      <c r="E32" s="2" t="s">
        <v>180</v>
      </c>
      <c r="F32" s="2" t="s">
        <v>181</v>
      </c>
      <c r="G32" s="2" t="s">
        <v>182</v>
      </c>
      <c r="H32" s="3" t="s">
        <v>183</v>
      </c>
      <c r="I32" s="2" t="str">
        <f aca="false">CONCATENATE("http://www.wikidata.org/entity/",H32)</f>
        <v>http://www.wikidata.org/entity/Q214917</v>
      </c>
      <c r="J32" s="3" t="s">
        <v>184</v>
      </c>
      <c r="K32" s="2" t="str">
        <f aca="false">CONCATENATE("https://d-nb.info/gnd/",J32)</f>
        <v>https://d-nb.info/gnd/4140241-8</v>
      </c>
      <c r="L32" s="3" t="s">
        <v>185</v>
      </c>
      <c r="M32" s="2" t="str">
        <f aca="false">CONCATENATE("https://d-nb.info/gnd/",L32)</f>
        <v>https://d-nb.info/gnd/4123077-2</v>
      </c>
      <c r="N32" s="3"/>
      <c r="P32" s="3" t="n">
        <v>300417553</v>
      </c>
      <c r="Q32" s="2" t="str">
        <f aca="false">CONCATENATE("https://vocab.getty.edu/aat/",P32)</f>
        <v>https://vocab.getty.edu/aat/300417553</v>
      </c>
      <c r="R32" s="2" t="s">
        <v>186</v>
      </c>
      <c r="S32" s="2" t="s">
        <v>187</v>
      </c>
      <c r="X32" s="2" t="n">
        <v>1</v>
      </c>
      <c r="Y32" s="2" t="n">
        <v>0</v>
      </c>
      <c r="AG32" s="4"/>
    </row>
    <row r="33" s="2" customFormat="true" ht="12.8" hidden="false" customHeight="false" outlineLevel="0" collapsed="false">
      <c r="A33" s="1" t="s">
        <v>188</v>
      </c>
      <c r="B33" s="2" t="n">
        <v>20</v>
      </c>
      <c r="C33" s="2" t="n">
        <v>18</v>
      </c>
      <c r="D33" s="2" t="s">
        <v>189</v>
      </c>
      <c r="E33" s="2" t="s">
        <v>190</v>
      </c>
      <c r="F33" s="2" t="s">
        <v>191</v>
      </c>
      <c r="H33" s="3" t="s">
        <v>192</v>
      </c>
      <c r="I33" s="2" t="str">
        <f aca="false">CONCATENATE("http://www.wikidata.org/entity/",H33)</f>
        <v>http://www.wikidata.org/entity/Q6625963</v>
      </c>
      <c r="J33" s="3" t="s">
        <v>193</v>
      </c>
      <c r="K33" s="2" t="str">
        <f aca="false">CONCATENATE("https://d-nb.info/gnd/",J33)</f>
        <v>https://d-nb.info/gnd/4124076-5</v>
      </c>
      <c r="L33" s="3" t="s">
        <v>194</v>
      </c>
      <c r="M33" s="2" t="str">
        <f aca="false">CONCATENATE("https://d-nb.info/gnd/",L33)</f>
        <v>https://d-nb.info/gnd/4178446-7</v>
      </c>
      <c r="N33" s="3"/>
      <c r="P33" s="3" t="n">
        <v>300179382</v>
      </c>
      <c r="Q33" s="2" t="str">
        <f aca="false">CONCATENATE("https://vocab.getty.edu/aat/",P33)</f>
        <v>https://vocab.getty.edu/aat/300179382</v>
      </c>
      <c r="R33" s="2" t="s">
        <v>195</v>
      </c>
      <c r="S33" s="2" t="s">
        <v>196</v>
      </c>
      <c r="X33" s="2" t="n">
        <v>1</v>
      </c>
      <c r="Y33" s="2" t="n">
        <v>0</v>
      </c>
      <c r="AG33" s="4"/>
    </row>
    <row r="34" s="2" customFormat="true" ht="12.8" hidden="false" customHeight="false" outlineLevel="0" collapsed="false">
      <c r="A34" s="1" t="s">
        <v>197</v>
      </c>
      <c r="B34" s="2" t="n">
        <v>21</v>
      </c>
      <c r="D34" s="2" t="s">
        <v>198</v>
      </c>
      <c r="E34" s="2" t="s">
        <v>199</v>
      </c>
      <c r="F34" s="2" t="s">
        <v>200</v>
      </c>
      <c r="H34" s="3" t="s">
        <v>201</v>
      </c>
      <c r="I34" s="2" t="str">
        <f aca="false">CONCATENATE("http://www.wikidata.org/entity/",H34)</f>
        <v>http://www.wikidata.org/entity/Q805253</v>
      </c>
      <c r="J34" s="3"/>
      <c r="L34" s="3"/>
      <c r="N34" s="3"/>
      <c r="P34" s="3"/>
      <c r="R34" s="2" t="s">
        <v>198</v>
      </c>
      <c r="S34" s="2" t="s">
        <v>200</v>
      </c>
      <c r="X34" s="2" t="n">
        <v>0</v>
      </c>
      <c r="Y34" s="2" t="n">
        <v>0</v>
      </c>
      <c r="AG34" s="4"/>
    </row>
    <row r="35" s="2" customFormat="true" ht="12.8" hidden="false" customHeight="false" outlineLevel="0" collapsed="false">
      <c r="A35" s="1" t="s">
        <v>202</v>
      </c>
      <c r="B35" s="2" t="n">
        <v>22</v>
      </c>
      <c r="D35" s="2" t="s">
        <v>203</v>
      </c>
      <c r="E35" s="2" t="s">
        <v>204</v>
      </c>
      <c r="F35" s="2" t="s">
        <v>205</v>
      </c>
      <c r="H35" s="3" t="s">
        <v>206</v>
      </c>
      <c r="I35" s="2" t="str">
        <f aca="false">CONCATENATE("http://www.wikidata.org/entity/",H35)</f>
        <v>http://www.wikidata.org/entity/Q806717</v>
      </c>
      <c r="J35" s="3"/>
      <c r="L35" s="3"/>
      <c r="N35" s="3"/>
      <c r="P35" s="3"/>
      <c r="R35" s="2" t="s">
        <v>203</v>
      </c>
      <c r="S35" s="2" t="s">
        <v>205</v>
      </c>
      <c r="X35" s="2" t="n">
        <v>0</v>
      </c>
      <c r="Y35" s="2" t="n">
        <v>0</v>
      </c>
      <c r="AG35" s="4"/>
    </row>
    <row r="36" s="2" customFormat="true" ht="12.8" hidden="false" customHeight="false" outlineLevel="0" collapsed="false">
      <c r="A36" s="1" t="s">
        <v>207</v>
      </c>
      <c r="B36" s="2" t="n">
        <v>23</v>
      </c>
      <c r="D36" s="2" t="s">
        <v>208</v>
      </c>
      <c r="E36" s="2" t="s">
        <v>209</v>
      </c>
      <c r="F36" s="2" t="s">
        <v>210</v>
      </c>
      <c r="G36" s="2" t="s">
        <v>211</v>
      </c>
      <c r="H36" s="3" t="s">
        <v>212</v>
      </c>
      <c r="I36" s="2" t="str">
        <f aca="false">CONCATENATE("http://www.wikidata.org/entity/",H36)</f>
        <v>http://www.wikidata.org/entity/Q87282152</v>
      </c>
      <c r="J36" s="3"/>
      <c r="L36" s="3"/>
      <c r="N36" s="3"/>
      <c r="P36" s="3"/>
      <c r="R36" s="2" t="s">
        <v>208</v>
      </c>
      <c r="S36" s="2" t="s">
        <v>210</v>
      </c>
      <c r="X36" s="2" t="n">
        <v>0</v>
      </c>
      <c r="Y36" s="2" t="n">
        <v>0</v>
      </c>
      <c r="AG36" s="4"/>
    </row>
    <row r="37" s="2" customFormat="true" ht="12.8" hidden="false" customHeight="false" outlineLevel="0" collapsed="false">
      <c r="A37" s="1" t="s">
        <v>213</v>
      </c>
      <c r="B37" s="2" t="n">
        <v>24</v>
      </c>
      <c r="D37" s="2" t="s">
        <v>214</v>
      </c>
      <c r="E37" s="2" t="s">
        <v>215</v>
      </c>
      <c r="F37" s="2" t="s">
        <v>216</v>
      </c>
      <c r="G37" s="2" t="s">
        <v>217</v>
      </c>
      <c r="H37" s="3" t="s">
        <v>218</v>
      </c>
      <c r="I37" s="2" t="str">
        <f aca="false">CONCATENATE("http://www.wikidata.org/entity/",H37)</f>
        <v>http://www.wikidata.org/entity/Q1424726</v>
      </c>
      <c r="J37" s="3" t="n">
        <v>1037661850</v>
      </c>
      <c r="K37" s="2" t="str">
        <f aca="false">CONCATENATE("https://d-nb.info/gnd/",J37)</f>
        <v>https://d-nb.info/gnd/1037661850</v>
      </c>
      <c r="L37" s="3" t="n">
        <v>1037661907</v>
      </c>
      <c r="M37" s="2" t="str">
        <f aca="false">CONCATENATE("https://d-nb.info/gnd/",L37)</f>
        <v>https://d-nb.info/gnd/1037661907</v>
      </c>
      <c r="N37" s="3"/>
      <c r="P37" s="3"/>
      <c r="R37" s="2" t="s">
        <v>214</v>
      </c>
      <c r="S37" s="2" t="s">
        <v>216</v>
      </c>
      <c r="X37" s="2" t="n">
        <v>0</v>
      </c>
      <c r="Y37" s="2" t="n">
        <v>0</v>
      </c>
      <c r="AG37" s="4"/>
    </row>
    <row r="38" s="2" customFormat="true" ht="12.8" hidden="false" customHeight="false" outlineLevel="0" collapsed="false">
      <c r="A38" s="1" t="s">
        <v>219</v>
      </c>
      <c r="B38" s="2" t="n">
        <v>25</v>
      </c>
      <c r="D38" s="2" t="s">
        <v>220</v>
      </c>
      <c r="E38" s="2" t="s">
        <v>221</v>
      </c>
      <c r="F38" s="2" t="s">
        <v>222</v>
      </c>
      <c r="H38" s="3" t="s">
        <v>223</v>
      </c>
      <c r="I38" s="2" t="str">
        <f aca="false">CONCATENATE("http://www.wikidata.org/entity/",H38)</f>
        <v>http://www.wikidata.org/entity/Q18524075</v>
      </c>
      <c r="J38" s="3" t="s">
        <v>224</v>
      </c>
      <c r="K38" s="2" t="str">
        <f aca="false">CONCATENATE("https://d-nb.info/gnd/",J38)</f>
        <v>https://d-nb.info/gnd/4548714-5</v>
      </c>
      <c r="L38" s="3" t="n">
        <v>1163485624</v>
      </c>
      <c r="M38" s="2" t="str">
        <f aca="false">CONCATENATE("https://d-nb.info/gnd/",L38)</f>
        <v>https://d-nb.info/gnd/1163485624</v>
      </c>
      <c r="N38" s="3"/>
      <c r="P38" s="3" t="n">
        <v>300417568</v>
      </c>
      <c r="Q38" s="2" t="str">
        <f aca="false">CONCATENATE("https://vocab.getty.edu/aat/",P38)</f>
        <v>https://vocab.getty.edu/aat/300417568</v>
      </c>
      <c r="R38" s="2" t="s">
        <v>220</v>
      </c>
      <c r="S38" s="2" t="s">
        <v>222</v>
      </c>
      <c r="X38" s="2" t="n">
        <v>0</v>
      </c>
      <c r="Y38" s="2" t="n">
        <v>0</v>
      </c>
      <c r="AG38" s="4"/>
    </row>
    <row r="39" s="2" customFormat="true" ht="12.8" hidden="false" customHeight="false" outlineLevel="0" collapsed="false">
      <c r="A39" s="1" t="s">
        <v>225</v>
      </c>
      <c r="B39" s="2" t="n">
        <v>26</v>
      </c>
      <c r="D39" s="2" t="s">
        <v>226</v>
      </c>
      <c r="E39" s="2" t="s">
        <v>227</v>
      </c>
      <c r="F39" s="2" t="s">
        <v>228</v>
      </c>
      <c r="G39" s="2" t="s">
        <v>229</v>
      </c>
      <c r="H39" s="3" t="s">
        <v>230</v>
      </c>
      <c r="I39" s="2" t="str">
        <f aca="false">CONCATENATE("http://www.wikidata.org/entity/",H39)</f>
        <v>http://www.wikidata.org/entity/Q57575097</v>
      </c>
      <c r="J39" s="3" t="s">
        <v>231</v>
      </c>
      <c r="K39" s="2" t="str">
        <f aca="false">CONCATENATE("https://d-nb.info/gnd/",J39)</f>
        <v>https://d-nb.info/gnd/4144900-9</v>
      </c>
      <c r="L39" s="3" t="n">
        <v>1207770906</v>
      </c>
      <c r="M39" s="2" t="str">
        <f aca="false">CONCATENATE("https://d-nb.info/gnd/",L39)</f>
        <v>https://d-nb.info/gnd/1207770906</v>
      </c>
      <c r="N39" s="3"/>
      <c r="P39" s="3" t="n">
        <v>300203630</v>
      </c>
      <c r="Q39" s="2" t="str">
        <f aca="false">CONCATENATE("https://vocab.getty.edu/aat/",P39)</f>
        <v>https://vocab.getty.edu/aat/300203630</v>
      </c>
      <c r="R39" s="2" t="s">
        <v>226</v>
      </c>
      <c r="S39" s="2" t="s">
        <v>228</v>
      </c>
      <c r="X39" s="2" t="n">
        <v>0</v>
      </c>
      <c r="Y39" s="2" t="n">
        <v>0</v>
      </c>
      <c r="AG39" s="4"/>
    </row>
    <row r="40" s="2" customFormat="true" ht="12.8" hidden="false" customHeight="false" outlineLevel="0" collapsed="false">
      <c r="A40" s="1" t="s">
        <v>232</v>
      </c>
      <c r="B40" s="2" t="n">
        <v>27</v>
      </c>
      <c r="D40" s="2" t="s">
        <v>233</v>
      </c>
      <c r="E40" s="2" t="s">
        <v>234</v>
      </c>
      <c r="F40" s="2" t="s">
        <v>235</v>
      </c>
      <c r="H40" s="3" t="s">
        <v>236</v>
      </c>
      <c r="I40" s="2" t="str">
        <f aca="false">CONCATENATE("http://www.wikidata.org/entity/",H40)</f>
        <v>http://www.wikidata.org/entity/Q1622272</v>
      </c>
      <c r="J40" s="3"/>
      <c r="L40" s="3"/>
      <c r="N40" s="3"/>
      <c r="P40" s="3"/>
      <c r="R40" s="2" t="s">
        <v>233</v>
      </c>
      <c r="S40" s="2" t="s">
        <v>235</v>
      </c>
      <c r="X40" s="2" t="n">
        <v>0</v>
      </c>
      <c r="Y40" s="2" t="n">
        <v>0</v>
      </c>
      <c r="AG40" s="4"/>
    </row>
    <row r="41" s="2" customFormat="true" ht="12.8" hidden="false" customHeight="false" outlineLevel="0" collapsed="false">
      <c r="A41" s="1" t="s">
        <v>237</v>
      </c>
      <c r="B41" s="2" t="n">
        <v>28</v>
      </c>
      <c r="D41" s="2" t="s">
        <v>238</v>
      </c>
      <c r="E41" s="2" t="s">
        <v>239</v>
      </c>
      <c r="F41" s="2" t="s">
        <v>240</v>
      </c>
      <c r="H41" s="3" t="s">
        <v>241</v>
      </c>
      <c r="I41" s="2" t="str">
        <f aca="false">CONCATENATE("http://www.wikidata.org/entity/",H41)</f>
        <v>http://www.wikidata.org/entity/Q182436</v>
      </c>
      <c r="J41" s="3" t="s">
        <v>242</v>
      </c>
      <c r="K41" s="2" t="str">
        <f aca="false">CONCATENATE("https://d-nb.info/gnd/",J41)</f>
        <v>https://d-nb.info/gnd/4145258-6</v>
      </c>
      <c r="L41" s="3" t="s">
        <v>243</v>
      </c>
      <c r="M41" s="2" t="str">
        <f aca="false">CONCATENATE("https://d-nb.info/gnd/",L41)</f>
        <v>https://d-nb.info/gnd/4145264-1</v>
      </c>
      <c r="N41" s="3"/>
      <c r="P41" s="3" t="n">
        <v>300025555</v>
      </c>
      <c r="Q41" s="2" t="str">
        <f aca="false">CONCATENATE("https://vocab.getty.edu/aat/",P41)</f>
        <v>https://vocab.getty.edu/aat/300025555</v>
      </c>
      <c r="R41" s="2" t="s">
        <v>238</v>
      </c>
      <c r="S41" s="2" t="s">
        <v>240</v>
      </c>
      <c r="X41" s="2" t="n">
        <v>0</v>
      </c>
      <c r="Y41" s="2" t="n">
        <v>0</v>
      </c>
      <c r="AG41" s="4"/>
    </row>
    <row r="42" s="2" customFormat="true" ht="12.8" hidden="false" customHeight="false" outlineLevel="0" collapsed="false">
      <c r="A42" s="1" t="s">
        <v>244</v>
      </c>
      <c r="B42" s="2" t="n">
        <v>29</v>
      </c>
      <c r="D42" s="2" t="s">
        <v>245</v>
      </c>
      <c r="E42" s="2" t="s">
        <v>246</v>
      </c>
      <c r="F42" s="2" t="s">
        <v>247</v>
      </c>
      <c r="G42" s="2" t="s">
        <v>248</v>
      </c>
      <c r="H42" s="3" t="s">
        <v>249</v>
      </c>
      <c r="I42" s="2" t="str">
        <f aca="false">CONCATENATE("http://www.wikidata.org/entity/",H42)</f>
        <v>http://www.wikidata.org/entity/Q222344</v>
      </c>
      <c r="J42" s="3" t="s">
        <v>250</v>
      </c>
      <c r="K42" s="2" t="str">
        <f aca="false">CONCATENATE("https://d-nb.info/gnd/",J42)</f>
        <v>https://d-nb.info/gnd/4029412-2</v>
      </c>
      <c r="L42" s="3" t="s">
        <v>251</v>
      </c>
      <c r="M42" s="2" t="str">
        <f aca="false">CONCATENATE("https://d-nb.info/gnd/",L42)</f>
        <v>https://d-nb.info/gnd/4493238-8</v>
      </c>
      <c r="N42" s="3"/>
      <c r="P42" s="3" t="n">
        <v>300025650</v>
      </c>
      <c r="Q42" s="2" t="str">
        <f aca="false">CONCATENATE("https://vocab.getty.edu/aat/",P42)</f>
        <v>https://vocab.getty.edu/aat/300025650</v>
      </c>
      <c r="R42" s="2" t="s">
        <v>245</v>
      </c>
      <c r="S42" s="2" t="s">
        <v>247</v>
      </c>
      <c r="X42" s="2" t="n">
        <v>1</v>
      </c>
      <c r="Y42" s="2" t="n">
        <v>0</v>
      </c>
      <c r="AG42" s="4"/>
    </row>
    <row r="43" s="2" customFormat="true" ht="12.8" hidden="false" customHeight="false" outlineLevel="0" collapsed="false">
      <c r="A43" s="1" t="s">
        <v>252</v>
      </c>
      <c r="B43" s="2" t="n">
        <v>30</v>
      </c>
      <c r="D43" s="2" t="s">
        <v>253</v>
      </c>
      <c r="E43" s="2" t="s">
        <v>254</v>
      </c>
      <c r="F43" s="2" t="s">
        <v>255</v>
      </c>
      <c r="H43" s="3" t="s">
        <v>256</v>
      </c>
      <c r="I43" s="2" t="str">
        <f aca="false">CONCATENATE("http://www.wikidata.org/entity/",H43)</f>
        <v>http://www.wikidata.org/entity/Q25829748</v>
      </c>
      <c r="J43" s="3" t="s">
        <v>257</v>
      </c>
      <c r="K43" s="2" t="str">
        <f aca="false">CONCATENATE("https://d-nb.info/gnd/",J43)</f>
        <v>https://d-nb.info/gnd/4126730-8</v>
      </c>
      <c r="L43" s="3" t="s">
        <v>258</v>
      </c>
      <c r="M43" s="2" t="str">
        <f aca="false">CONCATENATE("https://d-nb.info/gnd/",L43)</f>
        <v>https://d-nb.info/gnd/7852283-3</v>
      </c>
      <c r="N43" s="3"/>
      <c r="P43" s="3"/>
      <c r="R43" s="2" t="s">
        <v>253</v>
      </c>
      <c r="S43" s="2" t="s">
        <v>255</v>
      </c>
      <c r="X43" s="2" t="n">
        <v>0</v>
      </c>
      <c r="Y43" s="2" t="n">
        <v>1</v>
      </c>
      <c r="AG43" s="4"/>
    </row>
    <row r="44" s="2" customFormat="true" ht="12.8" hidden="false" customHeight="false" outlineLevel="0" collapsed="false">
      <c r="A44" s="1" t="s">
        <v>259</v>
      </c>
      <c r="B44" s="2" t="n">
        <v>31</v>
      </c>
      <c r="C44" s="2" t="n">
        <v>30</v>
      </c>
      <c r="D44" s="2" t="s">
        <v>260</v>
      </c>
      <c r="E44" s="2" t="s">
        <v>261</v>
      </c>
      <c r="F44" s="2" t="s">
        <v>262</v>
      </c>
      <c r="H44" s="3" t="s">
        <v>263</v>
      </c>
      <c r="I44" s="2" t="str">
        <f aca="false">CONCATENATE("http://www.wikidata.org/entity/",H44)</f>
        <v>http://www.wikidata.org/entity/Q19729565</v>
      </c>
      <c r="J44" s="3" t="s">
        <v>264</v>
      </c>
      <c r="K44" s="2" t="str">
        <f aca="false">CONCATENATE("https://d-nb.info/gnd/",J44)</f>
        <v>https://d-nb.info/gnd/4712307-2</v>
      </c>
      <c r="L44" s="3" t="s">
        <v>265</v>
      </c>
      <c r="M44" s="2" t="str">
        <f aca="false">CONCATENATE("https://d-nb.info/gnd/",L44)</f>
        <v>https://d-nb.info/gnd/7553331-5</v>
      </c>
      <c r="N44" s="3"/>
      <c r="P44" s="3"/>
      <c r="R44" s="2" t="s">
        <v>266</v>
      </c>
      <c r="S44" s="2" t="s">
        <v>267</v>
      </c>
      <c r="X44" s="2" t="n">
        <v>0</v>
      </c>
      <c r="Y44" s="2" t="n">
        <v>1</v>
      </c>
      <c r="AG44" s="4"/>
    </row>
    <row r="45" s="2" customFormat="true" ht="12.8" hidden="false" customHeight="false" outlineLevel="0" collapsed="false">
      <c r="A45" s="1" t="s">
        <v>268</v>
      </c>
      <c r="B45" s="2" t="n">
        <v>32</v>
      </c>
      <c r="C45" s="2" t="n">
        <v>30</v>
      </c>
      <c r="D45" s="2" t="s">
        <v>269</v>
      </c>
      <c r="E45" s="2" t="s">
        <v>270</v>
      </c>
      <c r="F45" s="2" t="s">
        <v>271</v>
      </c>
      <c r="H45" s="3" t="s">
        <v>272</v>
      </c>
      <c r="I45" s="2" t="str">
        <f aca="false">CONCATENATE("http://www.wikidata.org/entity/",H45)</f>
        <v>http://www.wikidata.org/entity/Q24574678</v>
      </c>
      <c r="J45" s="3" t="s">
        <v>273</v>
      </c>
      <c r="K45" s="2" t="str">
        <f aca="false">CONCATENATE("https://d-nb.info/gnd/",J45)</f>
        <v>https://d-nb.info/gnd/7553341-8</v>
      </c>
      <c r="L45" s="3" t="s">
        <v>274</v>
      </c>
      <c r="M45" s="2" t="str">
        <f aca="false">CONCATENATE("https://d-nb.info/gnd/",L45)</f>
        <v>https://d-nb.info/gnd/7553340-6</v>
      </c>
      <c r="N45" s="3"/>
      <c r="P45" s="3"/>
      <c r="R45" s="2" t="s">
        <v>275</v>
      </c>
      <c r="S45" s="2" t="s">
        <v>276</v>
      </c>
      <c r="X45" s="2" t="n">
        <v>0</v>
      </c>
      <c r="Y45" s="2" t="n">
        <v>1</v>
      </c>
      <c r="AG45" s="4"/>
    </row>
    <row r="46" s="2" customFormat="true" ht="12.8" hidden="false" customHeight="false" outlineLevel="0" collapsed="false">
      <c r="A46" s="1" t="s">
        <v>277</v>
      </c>
      <c r="B46" s="2" t="n">
        <v>33</v>
      </c>
      <c r="C46" s="2" t="n">
        <v>30</v>
      </c>
      <c r="D46" s="2" t="s">
        <v>278</v>
      </c>
      <c r="E46" s="2" t="s">
        <v>279</v>
      </c>
      <c r="F46" s="2" t="s">
        <v>280</v>
      </c>
      <c r="H46" s="3" t="s">
        <v>281</v>
      </c>
      <c r="I46" s="2" t="str">
        <f aca="false">CONCATENATE("http://www.wikidata.org/entity/",H46)</f>
        <v>http://www.wikidata.org/entity/Q544972</v>
      </c>
      <c r="J46" s="3" t="s">
        <v>282</v>
      </c>
      <c r="K46" s="2" t="str">
        <f aca="false">CONCATENATE("https://d-nb.info/gnd/",J46)</f>
        <v>https://d-nb.info/gnd/4351420-0</v>
      </c>
      <c r="L46" s="3" t="s">
        <v>283</v>
      </c>
      <c r="M46" s="2" t="str">
        <f aca="false">CONCATENATE("https://d-nb.info/gnd/",L46)</f>
        <v>https://d-nb.info/gnd/7540272-5</v>
      </c>
      <c r="N46" s="3"/>
      <c r="P46" s="3"/>
      <c r="R46" s="2" t="s">
        <v>284</v>
      </c>
      <c r="S46" s="2" t="s">
        <v>285</v>
      </c>
      <c r="X46" s="2" t="n">
        <v>0</v>
      </c>
      <c r="Y46" s="2" t="n">
        <v>1</v>
      </c>
      <c r="AG46" s="4"/>
    </row>
    <row r="47" s="2" customFormat="true" ht="12.8" hidden="false" customHeight="false" outlineLevel="0" collapsed="false">
      <c r="A47" s="1" t="s">
        <v>286</v>
      </c>
      <c r="B47" s="2" t="n">
        <v>34</v>
      </c>
      <c r="C47" s="2" t="n">
        <v>30</v>
      </c>
      <c r="D47" s="2" t="s">
        <v>287</v>
      </c>
      <c r="E47" s="2" t="s">
        <v>288</v>
      </c>
      <c r="F47" s="2" t="s">
        <v>289</v>
      </c>
      <c r="H47" s="3" t="s">
        <v>290</v>
      </c>
      <c r="I47" s="2" t="str">
        <f aca="false">CONCATENATE("http://www.wikidata.org/entity/",H47)</f>
        <v>http://www.wikidata.org/entity/Q12377274</v>
      </c>
      <c r="J47" s="3" t="s">
        <v>291</v>
      </c>
      <c r="K47" s="2" t="str">
        <f aca="false">CONCATENATE("https://d-nb.info/gnd/",J47)</f>
        <v>https://d-nb.info/gnd/4462762-2</v>
      </c>
      <c r="L47" s="3" t="s">
        <v>292</v>
      </c>
      <c r="M47" s="2" t="str">
        <f aca="false">CONCATENATE("https://d-nb.info/gnd/",L47)</f>
        <v>https://d-nb.info/gnd/7553287-6</v>
      </c>
      <c r="N47" s="3"/>
      <c r="P47" s="3" t="n">
        <v>300235064</v>
      </c>
      <c r="Q47" s="2" t="str">
        <f aca="false">CONCATENATE("https://vocab.getty.edu/aat/",P47)</f>
        <v>https://vocab.getty.edu/aat/300235064</v>
      </c>
      <c r="R47" s="2" t="s">
        <v>293</v>
      </c>
      <c r="S47" s="2" t="s">
        <v>294</v>
      </c>
      <c r="X47" s="2" t="n">
        <v>0</v>
      </c>
      <c r="Y47" s="2" t="n">
        <v>1</v>
      </c>
      <c r="AG47" s="4"/>
    </row>
    <row r="48" s="2" customFormat="true" ht="12.8" hidden="false" customHeight="false" outlineLevel="0" collapsed="false">
      <c r="A48" s="1" t="s">
        <v>295</v>
      </c>
      <c r="B48" s="2" t="n">
        <v>35</v>
      </c>
      <c r="C48" s="2" t="n">
        <v>30</v>
      </c>
      <c r="D48" s="2" t="s">
        <v>296</v>
      </c>
      <c r="E48" s="2" t="s">
        <v>297</v>
      </c>
      <c r="F48" s="2" t="s">
        <v>298</v>
      </c>
      <c r="G48" s="2" t="s">
        <v>299</v>
      </c>
      <c r="H48" s="3" t="s">
        <v>300</v>
      </c>
      <c r="I48" s="2" t="str">
        <f aca="false">CONCATENATE("http://www.wikidata.org/entity/",H48)</f>
        <v>http://www.wikidata.org/entity/Q16156383</v>
      </c>
      <c r="J48" s="3" t="s">
        <v>301</v>
      </c>
      <c r="K48" s="2" t="str">
        <f aca="false">CONCATENATE("https://d-nb.info/gnd/",J48)</f>
        <v>https://d-nb.info/gnd/7553291-8</v>
      </c>
      <c r="L48" s="3" t="s">
        <v>302</v>
      </c>
      <c r="M48" s="2" t="str">
        <f aca="false">CONCATENATE("https://d-nb.info/gnd/",L48)</f>
        <v>https://d-nb.info/gnd/7553290-6</v>
      </c>
      <c r="N48" s="3"/>
      <c r="P48" s="3"/>
      <c r="R48" s="2" t="s">
        <v>303</v>
      </c>
      <c r="S48" s="2" t="s">
        <v>304</v>
      </c>
      <c r="X48" s="2" t="n">
        <v>0</v>
      </c>
      <c r="Y48" s="2" t="n">
        <v>1</v>
      </c>
      <c r="AG48" s="4"/>
    </row>
    <row r="49" s="2" customFormat="true" ht="12.8" hidden="false" customHeight="false" outlineLevel="0" collapsed="false">
      <c r="A49" s="1" t="s">
        <v>305</v>
      </c>
      <c r="B49" s="2" t="n">
        <v>36</v>
      </c>
      <c r="C49" s="2" t="n">
        <v>30</v>
      </c>
      <c r="D49" s="2" t="s">
        <v>306</v>
      </c>
      <c r="E49" s="2" t="s">
        <v>307</v>
      </c>
      <c r="F49" s="2" t="s">
        <v>308</v>
      </c>
      <c r="H49" s="3" t="s">
        <v>309</v>
      </c>
      <c r="I49" s="2" t="str">
        <f aca="false">CONCATENATE("http://www.wikidata.org/entity/",H49)</f>
        <v>http://www.wikidata.org/entity/Q59139094</v>
      </c>
      <c r="J49" s="3" t="s">
        <v>310</v>
      </c>
      <c r="K49" s="2" t="str">
        <f aca="false">CONCATENATE("https://d-nb.info/gnd/",J49)</f>
        <v>https://d-nb.info/gnd/7628941-2</v>
      </c>
      <c r="L49" s="3"/>
      <c r="N49" s="3"/>
      <c r="P49" s="3"/>
      <c r="R49" s="2" t="s">
        <v>311</v>
      </c>
      <c r="S49" s="2" t="s">
        <v>312</v>
      </c>
      <c r="X49" s="2" t="n">
        <v>0</v>
      </c>
      <c r="Y49" s="2" t="n">
        <v>1</v>
      </c>
      <c r="AG49" s="4"/>
    </row>
    <row r="50" s="2" customFormat="true" ht="12.8" hidden="false" customHeight="false" outlineLevel="0" collapsed="false">
      <c r="A50" s="1" t="s">
        <v>313</v>
      </c>
      <c r="B50" s="2" t="n">
        <v>37</v>
      </c>
      <c r="D50" s="2" t="s">
        <v>314</v>
      </c>
      <c r="E50" s="2" t="s">
        <v>315</v>
      </c>
      <c r="F50" s="2" t="s">
        <v>316</v>
      </c>
      <c r="G50" s="2" t="s">
        <v>317</v>
      </c>
      <c r="H50" s="3" t="s">
        <v>318</v>
      </c>
      <c r="I50" s="2" t="str">
        <f aca="false">CONCATENATE("http://www.wikidata.org/entity/",H50)</f>
        <v>http://www.wikidata.org/entity/Q56224063</v>
      </c>
      <c r="J50" s="3" t="s">
        <v>319</v>
      </c>
      <c r="K50" s="2" t="str">
        <f aca="false">CONCATENATE("https://d-nb.info/gnd/",J50)</f>
        <v>https://d-nb.info/gnd/4122969-1</v>
      </c>
      <c r="L50" s="3" t="s">
        <v>320</v>
      </c>
      <c r="M50" s="2" t="str">
        <f aca="false">CONCATENATE("https://d-nb.info/gnd/",L50)</f>
        <v>https://d-nb.info/gnd/7586536-1</v>
      </c>
      <c r="N50" s="3"/>
      <c r="P50" s="3" t="n">
        <v>300024985</v>
      </c>
      <c r="Q50" s="2" t="str">
        <f aca="false">CONCATENATE("https://vocab.getty.edu/aat/",P50)</f>
        <v>https://vocab.getty.edu/aat/300024985</v>
      </c>
      <c r="R50" s="2" t="s">
        <v>314</v>
      </c>
      <c r="S50" s="2" t="s">
        <v>316</v>
      </c>
      <c r="X50" s="2" t="n">
        <v>0</v>
      </c>
      <c r="Y50" s="2" t="n">
        <v>0</v>
      </c>
      <c r="AG50" s="4"/>
    </row>
    <row r="51" s="2" customFormat="true" ht="12.8" hidden="false" customHeight="false" outlineLevel="0" collapsed="false">
      <c r="A51" s="1" t="s">
        <v>321</v>
      </c>
      <c r="B51" s="2" t="n">
        <v>38</v>
      </c>
      <c r="D51" s="2" t="s">
        <v>322</v>
      </c>
      <c r="E51" s="2" t="s">
        <v>323</v>
      </c>
      <c r="F51" s="2" t="s">
        <v>324</v>
      </c>
      <c r="G51" s="2" t="s">
        <v>325</v>
      </c>
      <c r="H51" s="3" t="s">
        <v>326</v>
      </c>
      <c r="I51" s="2" t="str">
        <f aca="false">CONCATENATE("http://www.wikidata.org/entity/",H51)</f>
        <v>http://www.wikidata.org/entity/Q2707485</v>
      </c>
      <c r="J51" s="3" t="s">
        <v>327</v>
      </c>
      <c r="K51" s="2" t="str">
        <f aca="false">CONCATENATE("https://d-nb.info/gnd/",J51)</f>
        <v>https://d-nb.info/gnd/4122089-4</v>
      </c>
      <c r="L51" s="3" t="s">
        <v>328</v>
      </c>
      <c r="M51" s="2" t="str">
        <f aca="false">CONCATENATE("https://d-nb.info/gnd/",L51)</f>
        <v>https://d-nb.info/gnd/7614391-0</v>
      </c>
      <c r="N51" s="3"/>
      <c r="P51" s="3" t="n">
        <v>300025681</v>
      </c>
      <c r="Q51" s="2" t="str">
        <f aca="false">CONCATENATE("https://vocab.getty.edu/aat/",P51)</f>
        <v>https://vocab.getty.edu/aat/300025681</v>
      </c>
      <c r="R51" s="2" t="s">
        <v>322</v>
      </c>
      <c r="S51" s="2" t="s">
        <v>324</v>
      </c>
      <c r="X51" s="2" t="n">
        <v>0</v>
      </c>
      <c r="Y51" s="2" t="n">
        <v>0</v>
      </c>
      <c r="AG51" s="4"/>
    </row>
    <row r="52" s="2" customFormat="true" ht="12.8" hidden="false" customHeight="false" outlineLevel="0" collapsed="false">
      <c r="A52" s="1" t="s">
        <v>329</v>
      </c>
      <c r="B52" s="2" t="n">
        <v>39</v>
      </c>
      <c r="D52" s="2" t="s">
        <v>330</v>
      </c>
      <c r="E52" s="2" t="s">
        <v>331</v>
      </c>
      <c r="F52" s="2" t="s">
        <v>332</v>
      </c>
      <c r="G52" s="2" t="s">
        <v>333</v>
      </c>
      <c r="H52" s="3" t="s">
        <v>334</v>
      </c>
      <c r="I52" s="2" t="str">
        <f aca="false">CONCATENATE("http://www.wikidata.org/entity/",H52)</f>
        <v>http://www.wikidata.org/entity/Q3387717</v>
      </c>
      <c r="J52" s="3" t="s">
        <v>335</v>
      </c>
      <c r="K52" s="2" t="str">
        <f aca="false">CONCATENATE("https://d-nb.info/gnd/",J52)</f>
        <v>https://d-nb.info/gnd/4185053-1</v>
      </c>
      <c r="L52" s="3" t="s">
        <v>336</v>
      </c>
      <c r="M52" s="2" t="str">
        <f aca="false">CONCATENATE("https://d-nb.info/gnd/",L52)</f>
        <v>https://d-nb.info/gnd/4469908-6</v>
      </c>
      <c r="N52" s="3"/>
      <c r="P52" s="3"/>
      <c r="R52" s="2" t="s">
        <v>330</v>
      </c>
      <c r="S52" s="2" t="s">
        <v>332</v>
      </c>
      <c r="X52" s="2" t="n">
        <v>0</v>
      </c>
      <c r="Y52" s="2" t="n">
        <v>1</v>
      </c>
      <c r="AG52" s="4"/>
    </row>
    <row r="53" s="2" customFormat="true" ht="12.8" hidden="false" customHeight="false" outlineLevel="0" collapsed="false">
      <c r="A53" s="1" t="s">
        <v>337</v>
      </c>
      <c r="B53" s="2" t="n">
        <v>40</v>
      </c>
      <c r="D53" s="2" t="s">
        <v>338</v>
      </c>
      <c r="E53" s="2" t="s">
        <v>339</v>
      </c>
      <c r="F53" s="2" t="s">
        <v>340</v>
      </c>
      <c r="H53" s="3" t="s">
        <v>341</v>
      </c>
      <c r="I53" s="2" t="str">
        <f aca="false">CONCATENATE("http://www.wikidata.org/entity/",H53)</f>
        <v>http://www.wikidata.org/entity/Q1020621</v>
      </c>
      <c r="J53" s="3" t="s">
        <v>342</v>
      </c>
      <c r="K53" s="2" t="str">
        <f aca="false">CONCATENATE("https://d-nb.info/gnd/",J53)</f>
        <v>https://d-nb.info/gnd/4485037-2</v>
      </c>
      <c r="L53" s="3"/>
      <c r="N53" s="3"/>
      <c r="P53" s="3"/>
      <c r="R53" s="2" t="s">
        <v>338</v>
      </c>
      <c r="S53" s="2" t="s">
        <v>340</v>
      </c>
      <c r="X53" s="2" t="n">
        <v>0</v>
      </c>
      <c r="Y53" s="2" t="n">
        <v>0</v>
      </c>
      <c r="AG53" s="4"/>
    </row>
    <row r="54" s="2" customFormat="true" ht="12.8" hidden="false" customHeight="false" outlineLevel="0" collapsed="false">
      <c r="A54" s="1" t="s">
        <v>343</v>
      </c>
      <c r="B54" s="2" t="n">
        <v>41</v>
      </c>
      <c r="D54" s="2" t="s">
        <v>344</v>
      </c>
      <c r="E54" s="2" t="s">
        <v>345</v>
      </c>
      <c r="F54" s="2" t="s">
        <v>346</v>
      </c>
      <c r="H54" s="3" t="s">
        <v>347</v>
      </c>
      <c r="I54" s="2" t="str">
        <f aca="false">CONCATENATE("http://www.wikidata.org/entity/",H54)</f>
        <v>http://www.wikidata.org/entity/Q2490358</v>
      </c>
      <c r="J54" s="3" t="s">
        <v>348</v>
      </c>
      <c r="K54" s="2" t="str">
        <f aca="false">CONCATENATE("https://d-nb.info/gnd/",J54)</f>
        <v>https://d-nb.info/gnd/4277171-7</v>
      </c>
      <c r="L54" s="3" t="s">
        <v>349</v>
      </c>
      <c r="M54" s="2" t="str">
        <f aca="false">CONCATENATE("https://d-nb.info/gnd/",L54)</f>
        <v>https://d-nb.info/gnd/4637659-8</v>
      </c>
      <c r="N54" s="3"/>
      <c r="P54" s="3" t="n">
        <v>300025649</v>
      </c>
      <c r="Q54" s="2" t="str">
        <f aca="false">CONCATENATE("https://vocab.getty.edu/aat/",P54)</f>
        <v>https://vocab.getty.edu/aat/300025649</v>
      </c>
      <c r="R54" s="2" t="s">
        <v>344</v>
      </c>
      <c r="S54" s="2" t="s">
        <v>346</v>
      </c>
      <c r="X54" s="2" t="n">
        <v>1</v>
      </c>
      <c r="Y54" s="2" t="n">
        <v>0</v>
      </c>
      <c r="AG54" s="4"/>
    </row>
    <row r="55" s="2" customFormat="true" ht="12.8" hidden="false" customHeight="false" outlineLevel="0" collapsed="false">
      <c r="A55" s="1" t="s">
        <v>350</v>
      </c>
      <c r="B55" s="2" t="n">
        <v>42</v>
      </c>
      <c r="D55" s="2" t="s">
        <v>351</v>
      </c>
      <c r="E55" s="2" t="s">
        <v>352</v>
      </c>
      <c r="F55" s="2" t="s">
        <v>353</v>
      </c>
      <c r="H55" s="3" t="s">
        <v>354</v>
      </c>
      <c r="I55" s="2" t="str">
        <f aca="false">CONCATENATE("http://www.wikidata.org/entity/",H55)</f>
        <v>http://www.wikidata.org/entity/Q15735983</v>
      </c>
      <c r="J55" s="3"/>
      <c r="L55" s="3"/>
      <c r="N55" s="3"/>
      <c r="P55" s="3"/>
      <c r="R55" s="2" t="s">
        <v>351</v>
      </c>
      <c r="S55" s="2" t="s">
        <v>353</v>
      </c>
      <c r="X55" s="2" t="n">
        <v>0</v>
      </c>
      <c r="Y55" s="2" t="n">
        <v>0</v>
      </c>
      <c r="AG55" s="4"/>
    </row>
    <row r="56" s="2" customFormat="true" ht="12.8" hidden="false" customHeight="false" outlineLevel="0" collapsed="false">
      <c r="A56" s="1" t="s">
        <v>355</v>
      </c>
      <c r="B56" s="2" t="n">
        <v>43</v>
      </c>
      <c r="D56" s="2" t="s">
        <v>356</v>
      </c>
      <c r="E56" s="2" t="s">
        <v>357</v>
      </c>
      <c r="F56" s="2" t="s">
        <v>358</v>
      </c>
      <c r="G56" s="2" t="s">
        <v>359</v>
      </c>
      <c r="H56" s="3" t="s">
        <v>360</v>
      </c>
      <c r="I56" s="2" t="str">
        <f aca="false">CONCATENATE("http://www.wikidata.org/entity/",H56)</f>
        <v>http://www.wikidata.org/entity/Q1396390</v>
      </c>
      <c r="J56" s="3"/>
      <c r="L56" s="3"/>
      <c r="N56" s="3"/>
      <c r="P56" s="3"/>
      <c r="R56" s="2" t="s">
        <v>356</v>
      </c>
      <c r="S56" s="2" t="s">
        <v>358</v>
      </c>
      <c r="X56" s="2" t="n">
        <v>0</v>
      </c>
      <c r="Y56" s="2" t="n">
        <v>0</v>
      </c>
      <c r="AG56" s="4"/>
    </row>
    <row r="57" s="2" customFormat="true" ht="12.8" hidden="false" customHeight="false" outlineLevel="0" collapsed="false">
      <c r="A57" s="1" t="s">
        <v>361</v>
      </c>
      <c r="B57" s="2" t="n">
        <v>44</v>
      </c>
      <c r="D57" s="2" t="s">
        <v>362</v>
      </c>
      <c r="E57" s="2" t="s">
        <v>363</v>
      </c>
      <c r="F57" s="2" t="s">
        <v>364</v>
      </c>
      <c r="H57" s="3" t="s">
        <v>365</v>
      </c>
      <c r="I57" s="2" t="str">
        <f aca="false">CONCATENATE("http://www.wikidata.org/entity/",H57)</f>
        <v>http://www.wikidata.org/entity/Q5322166</v>
      </c>
      <c r="J57" s="3" t="s">
        <v>366</v>
      </c>
      <c r="K57" s="2" t="str">
        <f aca="false">CONCATENATE("https://d-nb.info/gnd/",J57)</f>
        <v>https://d-nb.info/gnd/4149173-7</v>
      </c>
      <c r="L57" s="3" t="s">
        <v>367</v>
      </c>
      <c r="M57" s="2" t="str">
        <f aca="false">CONCATENATE("https://d-nb.info/gnd/",L57)</f>
        <v>https://d-nb.info/gnd/4425811-2</v>
      </c>
      <c r="N57" s="3"/>
      <c r="P57" s="3" t="n">
        <v>300025190</v>
      </c>
      <c r="Q57" s="2" t="str">
        <f aca="false">CONCATENATE("https://vocab.getty.edu/aat/",P57)</f>
        <v>https://vocab.getty.edu/aat/300025190</v>
      </c>
      <c r="R57" s="2" t="s">
        <v>362</v>
      </c>
      <c r="S57" s="2" t="s">
        <v>364</v>
      </c>
      <c r="X57" s="2" t="n">
        <v>0</v>
      </c>
      <c r="Y57" s="2" t="n">
        <v>0</v>
      </c>
      <c r="AG57" s="4"/>
    </row>
    <row r="58" s="2" customFormat="true" ht="12.8" hidden="false" customHeight="false" outlineLevel="0" collapsed="false">
      <c r="A58" s="1" t="s">
        <v>368</v>
      </c>
      <c r="B58" s="2" t="n">
        <v>45</v>
      </c>
      <c r="D58" s="2" t="s">
        <v>369</v>
      </c>
      <c r="E58" s="2" t="s">
        <v>370</v>
      </c>
      <c r="F58" s="2" t="s">
        <v>371</v>
      </c>
      <c r="H58" s="3" t="s">
        <v>372</v>
      </c>
      <c r="I58" s="2" t="str">
        <f aca="false">CONCATENATE("http://www.wikidata.org/entity/",H58)</f>
        <v>http://www.wikidata.org/entity/Q104704532</v>
      </c>
      <c r="J58" s="3"/>
      <c r="L58" s="3"/>
      <c r="N58" s="3"/>
      <c r="P58" s="3"/>
      <c r="R58" s="2" t="s">
        <v>369</v>
      </c>
      <c r="S58" s="2" t="s">
        <v>371</v>
      </c>
      <c r="X58" s="2" t="n">
        <v>1</v>
      </c>
      <c r="Y58" s="2" t="n">
        <v>0</v>
      </c>
      <c r="AG58" s="4"/>
    </row>
    <row r="59" s="2" customFormat="true" ht="12.8" hidden="false" customHeight="false" outlineLevel="0" collapsed="false">
      <c r="A59" s="1" t="s">
        <v>373</v>
      </c>
      <c r="B59" s="2" t="n">
        <v>46</v>
      </c>
      <c r="D59" s="2" t="s">
        <v>374</v>
      </c>
      <c r="E59" s="2" t="s">
        <v>375</v>
      </c>
      <c r="F59" s="2" t="s">
        <v>376</v>
      </c>
      <c r="H59" s="3" t="s">
        <v>377</v>
      </c>
      <c r="I59" s="2" t="str">
        <f aca="false">CONCATENATE("http://www.wikidata.org/entity/",H59)</f>
        <v>http://www.wikidata.org/entity/Q123094923</v>
      </c>
      <c r="J59" s="3"/>
      <c r="L59" s="3"/>
      <c r="N59" s="3"/>
      <c r="P59" s="3"/>
      <c r="R59" s="2" t="s">
        <v>374</v>
      </c>
      <c r="S59" s="2" t="s">
        <v>376</v>
      </c>
      <c r="X59" s="2" t="n">
        <v>0</v>
      </c>
      <c r="Y59" s="2" t="n">
        <v>0</v>
      </c>
      <c r="AG59" s="4"/>
    </row>
    <row r="60" s="2" customFormat="true" ht="12.8" hidden="false" customHeight="false" outlineLevel="0" collapsed="false">
      <c r="A60" s="1" t="s">
        <v>378</v>
      </c>
      <c r="B60" s="2" t="n">
        <v>47</v>
      </c>
      <c r="D60" s="2" t="s">
        <v>379</v>
      </c>
      <c r="E60" s="2" t="s">
        <v>380</v>
      </c>
      <c r="F60" s="2" t="s">
        <v>381</v>
      </c>
      <c r="H60" s="3" t="s">
        <v>382</v>
      </c>
      <c r="I60" s="2" t="str">
        <f aca="false">CONCATENATE("http://www.wikidata.org/entity/",H60)</f>
        <v>http://www.wikidata.org/entity/Q193391</v>
      </c>
      <c r="J60" s="3" t="s">
        <v>383</v>
      </c>
      <c r="K60" s="2" t="str">
        <f aca="false">CONCATENATE("https://d-nb.info/gnd/",J60)</f>
        <v>https://d-nb.info/gnd/4012401-0</v>
      </c>
      <c r="L60" s="3" t="s">
        <v>384</v>
      </c>
      <c r="M60" s="2" t="str">
        <f aca="false">CONCATENATE("https://d-nb.info/gnd/",L60)</f>
        <v>https://d-nb.info/gnd/4392605-8</v>
      </c>
      <c r="N60" s="3"/>
      <c r="P60" s="3" t="n">
        <v>300025462</v>
      </c>
      <c r="Q60" s="2" t="str">
        <f aca="false">CONCATENATE("https://vocab.getty.edu/aat/",P60)</f>
        <v>https://vocab.getty.edu/aat/300025462</v>
      </c>
      <c r="R60" s="2" t="s">
        <v>379</v>
      </c>
      <c r="S60" s="2" t="s">
        <v>381</v>
      </c>
      <c r="X60" s="2" t="n">
        <v>0</v>
      </c>
      <c r="Y60" s="2" t="n">
        <v>0</v>
      </c>
      <c r="AG60" s="4"/>
    </row>
    <row r="61" s="2" customFormat="true" ht="12.8" hidden="false" customHeight="false" outlineLevel="0" collapsed="false">
      <c r="A61" s="1" t="s">
        <v>385</v>
      </c>
      <c r="B61" s="2" t="n">
        <v>48</v>
      </c>
      <c r="D61" s="2" t="s">
        <v>386</v>
      </c>
      <c r="E61" s="2" t="s">
        <v>387</v>
      </c>
      <c r="F61" s="2" t="s">
        <v>388</v>
      </c>
      <c r="H61" s="3" t="s">
        <v>389</v>
      </c>
      <c r="I61" s="2" t="str">
        <f aca="false">CONCATENATE("http://www.wikidata.org/entity/",H61)</f>
        <v>http://www.wikidata.org/entity/Q158852</v>
      </c>
      <c r="J61" s="3" t="s">
        <v>390</v>
      </c>
      <c r="K61" s="2" t="str">
        <f aca="false">CONCATENATE("https://d-nb.info/gnd/",J61)</f>
        <v>https://d-nb.info/gnd/4012434-4</v>
      </c>
      <c r="L61" s="3" t="s">
        <v>391</v>
      </c>
      <c r="M61" s="2" t="str">
        <f aca="false">CONCATENATE("https://d-nb.info/gnd/",L61)</f>
        <v>https://d-nb.info/gnd/4648823-6</v>
      </c>
      <c r="N61" s="3"/>
      <c r="P61" s="3" t="n">
        <v>300025672</v>
      </c>
      <c r="Q61" s="2" t="str">
        <f aca="false">CONCATENATE("https://vocab.getty.edu/aat/",P61)</f>
        <v>https://vocab.getty.edu/aat/300025672</v>
      </c>
      <c r="R61" s="2" t="s">
        <v>386</v>
      </c>
      <c r="S61" s="2" t="s">
        <v>388</v>
      </c>
      <c r="X61" s="2" t="n">
        <v>0</v>
      </c>
      <c r="Y61" s="2" t="n">
        <v>1</v>
      </c>
      <c r="AG61" s="4"/>
    </row>
    <row r="62" s="2" customFormat="true" ht="12.8" hidden="false" customHeight="false" outlineLevel="0" collapsed="false">
      <c r="A62" s="1" t="s">
        <v>392</v>
      </c>
      <c r="B62" s="2" t="n">
        <v>49</v>
      </c>
      <c r="C62" s="2" t="n">
        <v>48</v>
      </c>
      <c r="D62" s="2" t="s">
        <v>393</v>
      </c>
      <c r="E62" s="2" t="s">
        <v>394</v>
      </c>
      <c r="F62" s="2" t="s">
        <v>395</v>
      </c>
      <c r="G62" s="2" t="s">
        <v>396</v>
      </c>
      <c r="H62" s="3" t="s">
        <v>397</v>
      </c>
      <c r="I62" s="2" t="str">
        <f aca="false">CONCATENATE("http://www.wikidata.org/entity/",H62)</f>
        <v>http://www.wikidata.org/entity/Q1076502</v>
      </c>
      <c r="J62" s="3" t="s">
        <v>398</v>
      </c>
      <c r="K62" s="2" t="str">
        <f aca="false">CONCATENATE("https://d-nb.info/gnd/",J62)</f>
        <v>https://d-nb.info/gnd/4443068-1</v>
      </c>
      <c r="L62" s="3" t="s">
        <v>399</v>
      </c>
      <c r="M62" s="2" t="str">
        <f aca="false">CONCATENATE("https://d-nb.info/gnd/",L62)</f>
        <v>https://d-nb.info/gnd/7553296-7</v>
      </c>
      <c r="N62" s="3"/>
      <c r="P62" s="3" t="n">
        <v>300264212</v>
      </c>
      <c r="Q62" s="2" t="str">
        <f aca="false">CONCATENATE("https://vocab.getty.edu/aat/",P62)</f>
        <v>https://vocab.getty.edu/aat/300264212</v>
      </c>
      <c r="R62" s="2" t="s">
        <v>400</v>
      </c>
      <c r="S62" s="2" t="s">
        <v>401</v>
      </c>
      <c r="X62" s="2" t="n">
        <v>0</v>
      </c>
      <c r="Y62" s="2" t="n">
        <v>1</v>
      </c>
      <c r="AG62" s="4"/>
    </row>
    <row r="63" s="2" customFormat="true" ht="12.8" hidden="false" customHeight="false" outlineLevel="0" collapsed="false">
      <c r="A63" s="1" t="s">
        <v>402</v>
      </c>
      <c r="B63" s="2" t="n">
        <v>50</v>
      </c>
      <c r="C63" s="2" t="n">
        <v>48</v>
      </c>
      <c r="D63" s="2" t="s">
        <v>403</v>
      </c>
      <c r="E63" s="2" t="s">
        <v>404</v>
      </c>
      <c r="F63" s="2" t="s">
        <v>405</v>
      </c>
      <c r="G63" s="2" t="s">
        <v>406</v>
      </c>
      <c r="H63" s="3" t="s">
        <v>407</v>
      </c>
      <c r="I63" s="2" t="str">
        <f aca="false">CONCATENATE("http://www.wikidata.org/entity/",H63)</f>
        <v>http://www.wikidata.org/entity/Q1344301</v>
      </c>
      <c r="J63" s="3" t="s">
        <v>408</v>
      </c>
      <c r="K63" s="2" t="str">
        <f aca="false">CONCATENATE("https://d-nb.info/gnd/",J63)</f>
        <v>https://d-nb.info/gnd/4408122-4</v>
      </c>
      <c r="L63" s="3" t="s">
        <v>408</v>
      </c>
      <c r="M63" s="2" t="str">
        <f aca="false">CONCATENATE("https://d-nb.info/gnd/",L63)</f>
        <v>https://d-nb.info/gnd/4408122-4</v>
      </c>
      <c r="N63" s="3"/>
      <c r="P63" s="3"/>
      <c r="R63" s="2" t="s">
        <v>409</v>
      </c>
      <c r="S63" s="2" t="s">
        <v>410</v>
      </c>
      <c r="X63" s="2" t="n">
        <v>0</v>
      </c>
      <c r="Y63" s="2" t="n">
        <v>1</v>
      </c>
      <c r="AG63" s="4"/>
    </row>
    <row r="64" s="2" customFormat="true" ht="12.8" hidden="false" customHeight="false" outlineLevel="0" collapsed="false">
      <c r="A64" s="1" t="s">
        <v>411</v>
      </c>
      <c r="B64" s="2" t="n">
        <v>51</v>
      </c>
      <c r="C64" s="2" t="n">
        <v>48</v>
      </c>
      <c r="D64" s="2" t="s">
        <v>412</v>
      </c>
      <c r="E64" s="2" t="s">
        <v>413</v>
      </c>
      <c r="F64" s="2" t="s">
        <v>414</v>
      </c>
      <c r="H64" s="3" t="s">
        <v>415</v>
      </c>
      <c r="I64" s="2" t="str">
        <f aca="false">CONCATENATE("http://www.wikidata.org/entity/",H64)</f>
        <v>http://www.wikidata.org/entity/Q48995718</v>
      </c>
      <c r="J64" s="3" t="s">
        <v>416</v>
      </c>
      <c r="K64" s="2" t="str">
        <f aca="false">CONCATENATE("https://d-nb.info/gnd/",J64)</f>
        <v>https://d-nb.info/gnd/4398808-8</v>
      </c>
      <c r="L64" s="3"/>
      <c r="N64" s="3"/>
      <c r="P64" s="3"/>
      <c r="R64" s="2" t="s">
        <v>417</v>
      </c>
      <c r="S64" s="2" t="s">
        <v>418</v>
      </c>
      <c r="X64" s="2" t="n">
        <v>0</v>
      </c>
      <c r="Y64" s="2" t="n">
        <v>1</v>
      </c>
      <c r="AG64" s="4"/>
    </row>
    <row r="65" s="2" customFormat="true" ht="12.8" hidden="false" customHeight="false" outlineLevel="0" collapsed="false">
      <c r="A65" s="1" t="s">
        <v>419</v>
      </c>
      <c r="B65" s="2" t="n">
        <v>52</v>
      </c>
      <c r="C65" s="2" t="n">
        <v>48</v>
      </c>
      <c r="D65" s="2" t="s">
        <v>420</v>
      </c>
      <c r="E65" s="2" t="s">
        <v>421</v>
      </c>
      <c r="F65" s="2" t="s">
        <v>422</v>
      </c>
      <c r="H65" s="3" t="s">
        <v>423</v>
      </c>
      <c r="I65" s="2" t="str">
        <f aca="false">CONCATENATE("http://www.wikidata.org/entity/",H65)</f>
        <v>http://www.wikidata.org/entity/Q330679</v>
      </c>
      <c r="J65" s="3" t="s">
        <v>424</v>
      </c>
      <c r="K65" s="2" t="str">
        <f aca="false">CONCATENATE("https://d-nb.info/gnd/",J65)</f>
        <v>https://d-nb.info/gnd/4163221-7</v>
      </c>
      <c r="L65" s="3" t="s">
        <v>425</v>
      </c>
      <c r="M65" s="2" t="str">
        <f aca="false">CONCATENATE("https://d-nb.info/gnd/",L65)</f>
        <v>https://d-nb.info/gnd/7590418-4</v>
      </c>
      <c r="N65" s="3"/>
      <c r="P65" s="3"/>
      <c r="R65" s="2" t="s">
        <v>426</v>
      </c>
      <c r="S65" s="2" t="s">
        <v>427</v>
      </c>
      <c r="X65" s="2" t="n">
        <v>0</v>
      </c>
      <c r="Y65" s="2" t="n">
        <v>1</v>
      </c>
      <c r="AG65" s="4"/>
    </row>
    <row r="66" s="2" customFormat="true" ht="12.8" hidden="false" customHeight="false" outlineLevel="0" collapsed="false">
      <c r="A66" s="1" t="s">
        <v>428</v>
      </c>
      <c r="B66" s="2" t="n">
        <v>53</v>
      </c>
      <c r="C66" s="2" t="n">
        <v>48</v>
      </c>
      <c r="D66" s="2" t="s">
        <v>429</v>
      </c>
      <c r="E66" s="2" t="s">
        <v>430</v>
      </c>
      <c r="F66" s="2" t="s">
        <v>431</v>
      </c>
      <c r="H66" s="3" t="s">
        <v>432</v>
      </c>
      <c r="I66" s="2" t="str">
        <f aca="false">CONCATENATE("http://www.wikidata.org/entity/",H66)</f>
        <v>http://www.wikidata.org/entity/Q215793</v>
      </c>
      <c r="J66" s="3" t="s">
        <v>433</v>
      </c>
      <c r="K66" s="2" t="str">
        <f aca="false">CONCATENATE("https://d-nb.info/gnd/",J66)</f>
        <v>https://d-nb.info/gnd/7524748-3</v>
      </c>
      <c r="L66" s="3" t="s">
        <v>433</v>
      </c>
      <c r="M66" s="2" t="str">
        <f aca="false">CONCATENATE("https://d-nb.info/gnd/",L66)</f>
        <v>https://d-nb.info/gnd/7524748-3</v>
      </c>
      <c r="N66" s="3"/>
      <c r="P66" s="3" t="n">
        <v>300025668</v>
      </c>
      <c r="Q66" s="2" t="str">
        <f aca="false">CONCATENATE("https://vocab.getty.edu/aat/",P66)</f>
        <v>https://vocab.getty.edu/aat/300025668</v>
      </c>
      <c r="R66" s="2" t="s">
        <v>434</v>
      </c>
      <c r="S66" s="2" t="s">
        <v>435</v>
      </c>
      <c r="X66" s="2" t="n">
        <v>0</v>
      </c>
      <c r="Y66" s="2" t="n">
        <v>1</v>
      </c>
      <c r="AG66" s="4"/>
    </row>
    <row r="67" s="2" customFormat="true" ht="12.8" hidden="false" customHeight="false" outlineLevel="0" collapsed="false">
      <c r="A67" s="1" t="s">
        <v>436</v>
      </c>
      <c r="B67" s="2" t="n">
        <v>54</v>
      </c>
      <c r="D67" s="2" t="s">
        <v>437</v>
      </c>
      <c r="E67" s="2" t="s">
        <v>438</v>
      </c>
      <c r="F67" s="2" t="s">
        <v>437</v>
      </c>
      <c r="G67" s="2" t="s">
        <v>438</v>
      </c>
      <c r="H67" s="3" t="s">
        <v>439</v>
      </c>
      <c r="I67" s="2" t="str">
        <f aca="false">CONCATENATE("http://www.wikidata.org/entity/",H67)</f>
        <v>http://www.wikidata.org/entity/Q130857</v>
      </c>
      <c r="J67" s="3" t="s">
        <v>440</v>
      </c>
      <c r="K67" s="2" t="str">
        <f aca="false">CONCATENATE("https://d-nb.info/gnd/",J67)</f>
        <v>https://d-nb.info/gnd/4380204-7</v>
      </c>
      <c r="L67" s="3" t="s">
        <v>441</v>
      </c>
      <c r="M67" s="2" t="str">
        <f aca="false">CONCATENATE("https://d-nb.info/gnd/",L67)</f>
        <v>https://d-nb.info/gnd/7553303-0</v>
      </c>
      <c r="N67" s="3"/>
      <c r="P67" s="3" t="n">
        <v>300265803</v>
      </c>
      <c r="Q67" s="2" t="str">
        <f aca="false">CONCATENATE("https://vocab.getty.edu/aat/",P67)</f>
        <v>https://vocab.getty.edu/aat/300265803</v>
      </c>
      <c r="R67" s="2" t="s">
        <v>437</v>
      </c>
      <c r="S67" s="2" t="s">
        <v>437</v>
      </c>
      <c r="X67" s="2" t="n">
        <v>0</v>
      </c>
      <c r="Y67" s="2" t="n">
        <v>0</v>
      </c>
      <c r="AG67" s="4"/>
    </row>
    <row r="68" s="2" customFormat="true" ht="12.8" hidden="false" customHeight="false" outlineLevel="0" collapsed="false">
      <c r="A68" s="1" t="s">
        <v>442</v>
      </c>
      <c r="B68" s="2" t="n">
        <v>55</v>
      </c>
      <c r="D68" s="2" t="s">
        <v>443</v>
      </c>
      <c r="E68" s="2" t="s">
        <v>444</v>
      </c>
      <c r="F68" s="2" t="s">
        <v>445</v>
      </c>
      <c r="H68" s="3" t="s">
        <v>446</v>
      </c>
      <c r="I68" s="2" t="str">
        <f aca="false">CONCATENATE("http://www.wikidata.org/entity/",H68)</f>
        <v>http://www.wikidata.org/entity/Q487596</v>
      </c>
      <c r="J68" s="3" t="s">
        <v>447</v>
      </c>
      <c r="K68" s="2" t="str">
        <f aca="false">CONCATENATE("https://d-nb.info/gnd/",J68)</f>
        <v>https://d-nb.info/gnd/4398838-6</v>
      </c>
      <c r="L68" s="3" t="s">
        <v>448</v>
      </c>
      <c r="M68" s="2" t="str">
        <f aca="false">CONCATENATE("https://d-nb.info/gnd/",L68)</f>
        <v>https://d-nb.info/gnd/4750929-6</v>
      </c>
      <c r="N68" s="3"/>
      <c r="P68" s="3" t="n">
        <v>300403978</v>
      </c>
      <c r="Q68" s="2" t="str">
        <f aca="false">CONCATENATE("https://vocab.getty.edu/aat/",P68)</f>
        <v>https://vocab.getty.edu/aat/300403978</v>
      </c>
      <c r="R68" s="2" t="s">
        <v>443</v>
      </c>
      <c r="S68" s="2" t="s">
        <v>445</v>
      </c>
      <c r="X68" s="2" t="n">
        <v>0</v>
      </c>
      <c r="Y68" s="2" t="n">
        <v>0</v>
      </c>
      <c r="AG68" s="4"/>
    </row>
    <row r="69" s="2" customFormat="true" ht="12.8" hidden="false" customHeight="false" outlineLevel="0" collapsed="false">
      <c r="A69" s="1" t="s">
        <v>449</v>
      </c>
      <c r="B69" s="2" t="n">
        <v>56</v>
      </c>
      <c r="D69" s="2" t="s">
        <v>450</v>
      </c>
      <c r="E69" s="2" t="s">
        <v>451</v>
      </c>
      <c r="F69" s="2" t="s">
        <v>452</v>
      </c>
      <c r="H69" s="3" t="s">
        <v>453</v>
      </c>
      <c r="I69" s="2" t="str">
        <f aca="false">CONCATENATE("http://www.wikidata.org/entity/",H69)</f>
        <v>http://www.wikidata.org/entity/Q28389</v>
      </c>
      <c r="J69" s="3" t="s">
        <v>454</v>
      </c>
      <c r="K69" s="2" t="str">
        <f aca="false">CONCATENATE("https://d-nb.info/gnd/",J69)</f>
        <v>https://d-nb.info/gnd/4294338-3</v>
      </c>
      <c r="L69" s="3" t="s">
        <v>455</v>
      </c>
      <c r="M69" s="2" t="str">
        <f aca="false">CONCATENATE("https://d-nb.info/gnd/",L69)</f>
        <v>https://d-nb.info/gnd/4302523-7</v>
      </c>
      <c r="N69" s="3"/>
      <c r="P69" s="3" t="n">
        <v>300025515</v>
      </c>
      <c r="Q69" s="2" t="str">
        <f aca="false">CONCATENATE("https://vocab.getty.edu/aat/",P69)</f>
        <v>https://vocab.getty.edu/aat/300025515</v>
      </c>
      <c r="R69" s="2" t="s">
        <v>450</v>
      </c>
      <c r="S69" s="2" t="s">
        <v>452</v>
      </c>
      <c r="X69" s="2" t="n">
        <v>0</v>
      </c>
      <c r="Y69" s="2" t="n">
        <v>0</v>
      </c>
      <c r="AG69" s="4"/>
    </row>
    <row r="70" s="2" customFormat="true" ht="12.8" hidden="false" customHeight="false" outlineLevel="0" collapsed="false">
      <c r="A70" s="1" t="s">
        <v>456</v>
      </c>
      <c r="B70" s="2" t="n">
        <v>57</v>
      </c>
      <c r="D70" s="2" t="s">
        <v>457</v>
      </c>
      <c r="E70" s="2" t="s">
        <v>458</v>
      </c>
      <c r="F70" s="2" t="s">
        <v>459</v>
      </c>
      <c r="G70" s="2" t="s">
        <v>460</v>
      </c>
      <c r="H70" s="3" t="s">
        <v>461</v>
      </c>
      <c r="I70" s="2" t="str">
        <f aca="false">CONCATENATE("http://www.wikidata.org/entity/",H70)</f>
        <v>http://www.wikidata.org/entity/Q123106465</v>
      </c>
      <c r="J70" s="3"/>
      <c r="L70" s="3"/>
      <c r="N70" s="3"/>
      <c r="P70" s="3"/>
      <c r="R70" s="2" t="s">
        <v>457</v>
      </c>
      <c r="S70" s="2" t="s">
        <v>459</v>
      </c>
      <c r="X70" s="2" t="n">
        <v>0</v>
      </c>
      <c r="Y70" s="2" t="n">
        <v>1</v>
      </c>
      <c r="AG70" s="4"/>
    </row>
    <row r="71" s="2" customFormat="true" ht="12.8" hidden="false" customHeight="false" outlineLevel="0" collapsed="false">
      <c r="A71" s="1" t="s">
        <v>462</v>
      </c>
      <c r="B71" s="2" t="n">
        <v>58</v>
      </c>
      <c r="C71" s="2" t="n">
        <v>57</v>
      </c>
      <c r="D71" s="2" t="s">
        <v>463</v>
      </c>
      <c r="E71" s="2" t="s">
        <v>464</v>
      </c>
      <c r="F71" s="2" t="s">
        <v>465</v>
      </c>
      <c r="H71" s="3" t="s">
        <v>466</v>
      </c>
      <c r="I71" s="2" t="str">
        <f aca="false">CONCATENATE("http://www.wikidata.org/entity/",H71)</f>
        <v>http://www.wikidata.org/entity/Q1863064</v>
      </c>
      <c r="J71" s="3" t="s">
        <v>467</v>
      </c>
      <c r="K71" s="2" t="str">
        <f aca="false">CONCATENATE("https://d-nb.info/gnd/",J71)</f>
        <v>https://d-nb.info/gnd/4776375-9</v>
      </c>
      <c r="L71" s="3" t="s">
        <v>468</v>
      </c>
      <c r="M71" s="2" t="str">
        <f aca="false">CONCATENATE("https://d-nb.info/gnd/",L71)</f>
        <v>https://d-nb.info/gnd/7553267-0</v>
      </c>
      <c r="N71" s="3"/>
      <c r="P71" s="3"/>
      <c r="R71" s="2" t="s">
        <v>469</v>
      </c>
      <c r="S71" s="2" t="s">
        <v>470</v>
      </c>
      <c r="X71" s="2" t="n">
        <v>0</v>
      </c>
      <c r="Y71" s="2" t="n">
        <v>1</v>
      </c>
      <c r="AG71" s="4"/>
    </row>
    <row r="72" s="2" customFormat="true" ht="12.8" hidden="false" customHeight="false" outlineLevel="0" collapsed="false">
      <c r="A72" s="1" t="s">
        <v>471</v>
      </c>
      <c r="B72" s="2" t="n">
        <v>59</v>
      </c>
      <c r="C72" s="2" t="n">
        <v>57</v>
      </c>
      <c r="D72" s="2" t="s">
        <v>472</v>
      </c>
      <c r="E72" s="2" t="s">
        <v>473</v>
      </c>
      <c r="F72" s="2" t="s">
        <v>474</v>
      </c>
      <c r="H72" s="3" t="s">
        <v>475</v>
      </c>
      <c r="I72" s="2" t="str">
        <f aca="false">CONCATENATE("http://www.wikidata.org/entity/",H72)</f>
        <v>http://www.wikidata.org/entity/Q88105790</v>
      </c>
      <c r="J72" s="3"/>
      <c r="L72" s="3"/>
      <c r="N72" s="3"/>
      <c r="P72" s="3"/>
      <c r="R72" s="2" t="s">
        <v>476</v>
      </c>
      <c r="S72" s="2" t="s">
        <v>477</v>
      </c>
      <c r="X72" s="2" t="n">
        <v>0</v>
      </c>
      <c r="Y72" s="2" t="n">
        <v>1</v>
      </c>
      <c r="AG72" s="4"/>
    </row>
    <row r="73" s="2" customFormat="true" ht="12.8" hidden="false" customHeight="false" outlineLevel="0" collapsed="false">
      <c r="A73" s="1" t="s">
        <v>478</v>
      </c>
      <c r="B73" s="2" t="n">
        <v>60</v>
      </c>
      <c r="C73" s="2" t="n">
        <v>57</v>
      </c>
      <c r="D73" s="2" t="s">
        <v>479</v>
      </c>
      <c r="E73" s="2" t="s">
        <v>480</v>
      </c>
      <c r="F73" s="2" t="s">
        <v>481</v>
      </c>
      <c r="G73" s="2" t="s">
        <v>482</v>
      </c>
      <c r="H73" s="3" t="s">
        <v>483</v>
      </c>
      <c r="I73" s="2" t="str">
        <f aca="false">CONCATENATE("http://www.wikidata.org/entity/",H73)</f>
        <v>http://www.wikidata.org/entity/Q20850090</v>
      </c>
      <c r="J73" s="3" t="s">
        <v>484</v>
      </c>
      <c r="K73" s="2" t="str">
        <f aca="false">CONCATENATE("https://d-nb.info/gnd/",J73)</f>
        <v>https://d-nb.info/gnd/7553350-9</v>
      </c>
      <c r="L73" s="3" t="s">
        <v>485</v>
      </c>
      <c r="M73" s="2" t="str">
        <f aca="false">CONCATENATE("https://d-nb.info/gnd/",L73)</f>
        <v>https://d-nb.info/gnd/7553348-0</v>
      </c>
      <c r="N73" s="3"/>
      <c r="P73" s="3"/>
      <c r="R73" s="2" t="s">
        <v>486</v>
      </c>
      <c r="S73" s="2" t="s">
        <v>487</v>
      </c>
      <c r="X73" s="2" t="n">
        <v>0</v>
      </c>
      <c r="Y73" s="2" t="n">
        <v>1</v>
      </c>
      <c r="AG73" s="4"/>
    </row>
    <row r="74" s="2" customFormat="true" ht="12.8" hidden="false" customHeight="false" outlineLevel="0" collapsed="false">
      <c r="A74" s="1" t="s">
        <v>488</v>
      </c>
      <c r="B74" s="2" t="n">
        <v>61</v>
      </c>
      <c r="D74" s="2" t="s">
        <v>489</v>
      </c>
      <c r="E74" s="2" t="s">
        <v>490</v>
      </c>
      <c r="F74" s="2" t="s">
        <v>229</v>
      </c>
      <c r="G74" s="2" t="s">
        <v>491</v>
      </c>
      <c r="H74" s="3" t="s">
        <v>492</v>
      </c>
      <c r="I74" s="2" t="str">
        <f aca="false">CONCATENATE("http://www.wikidata.org/entity/",H74)</f>
        <v>http://www.wikidata.org/entity/Q12794619</v>
      </c>
      <c r="J74" s="3" t="s">
        <v>493</v>
      </c>
      <c r="K74" s="2" t="str">
        <f aca="false">CONCATENATE("https://d-nb.info/gnd/",J74)</f>
        <v>https://d-nb.info/gnd/4151183-9</v>
      </c>
      <c r="L74" s="3" t="s">
        <v>494</v>
      </c>
      <c r="M74" s="2" t="str">
        <f aca="false">CONCATENATE("https://d-nb.info/gnd/",L74)</f>
        <v>https://d-nb.info/gnd/7819368-0</v>
      </c>
      <c r="N74" s="3"/>
      <c r="P74" s="3"/>
      <c r="R74" s="2" t="s">
        <v>489</v>
      </c>
      <c r="S74" s="2" t="s">
        <v>229</v>
      </c>
      <c r="X74" s="2" t="n">
        <v>0</v>
      </c>
      <c r="Y74" s="2" t="n">
        <v>0</v>
      </c>
      <c r="AG74" s="4"/>
    </row>
    <row r="75" s="2" customFormat="true" ht="12.8" hidden="false" customHeight="false" outlineLevel="0" collapsed="false">
      <c r="A75" s="1" t="s">
        <v>495</v>
      </c>
      <c r="B75" s="2" t="n">
        <v>62</v>
      </c>
      <c r="D75" s="2" t="s">
        <v>496</v>
      </c>
      <c r="E75" s="2" t="s">
        <v>497</v>
      </c>
      <c r="F75" s="2" t="s">
        <v>498</v>
      </c>
      <c r="H75" s="3" t="s">
        <v>499</v>
      </c>
      <c r="I75" s="2" t="str">
        <f aca="false">CONCATENATE("http://www.wikidata.org/entity/",H75)</f>
        <v>http://www.wikidata.org/entity/Q205375</v>
      </c>
      <c r="J75" s="3" t="s">
        <v>500</v>
      </c>
      <c r="K75" s="2" t="str">
        <f aca="false">CONCATENATE("https://d-nb.info/gnd/",J75)</f>
        <v>https://d-nb.info/gnd/4015222-4</v>
      </c>
      <c r="L75" s="3" t="s">
        <v>501</v>
      </c>
      <c r="M75" s="2" t="str">
        <f aca="false">CONCATENATE("https://d-nb.info/gnd/",L75)</f>
        <v>https://d-nb.info/gnd/4218749-7</v>
      </c>
      <c r="N75" s="3"/>
      <c r="P75" s="3" t="n">
        <v>300025845</v>
      </c>
      <c r="Q75" s="2" t="str">
        <f aca="false">CONCATENATE("https://vocab.getty.edu/aat/",P75)</f>
        <v>https://vocab.getty.edu/aat/300025845</v>
      </c>
      <c r="R75" s="2" t="s">
        <v>496</v>
      </c>
      <c r="S75" s="2" t="s">
        <v>498</v>
      </c>
      <c r="X75" s="2" t="n">
        <v>0</v>
      </c>
      <c r="Y75" s="2" t="n">
        <v>0</v>
      </c>
      <c r="AG75" s="4"/>
    </row>
    <row r="76" s="2" customFormat="true" ht="12.8" hidden="false" customHeight="false" outlineLevel="0" collapsed="false">
      <c r="A76" s="1" t="s">
        <v>502</v>
      </c>
      <c r="B76" s="2" t="n">
        <v>63</v>
      </c>
      <c r="D76" s="2" t="s">
        <v>503</v>
      </c>
      <c r="E76" s="2" t="s">
        <v>504</v>
      </c>
      <c r="F76" s="2" t="s">
        <v>505</v>
      </c>
      <c r="H76" s="3" t="s">
        <v>506</v>
      </c>
      <c r="I76" s="2" t="str">
        <f aca="false">CONCATENATE("http://www.wikidata.org/entity/",H76)</f>
        <v>http://www.wikidata.org/entity/Q123095131</v>
      </c>
      <c r="J76" s="3"/>
      <c r="L76" s="3"/>
      <c r="N76" s="3"/>
      <c r="P76" s="3"/>
      <c r="R76" s="2" t="s">
        <v>503</v>
      </c>
      <c r="S76" s="2" t="s">
        <v>505</v>
      </c>
      <c r="X76" s="2" t="n">
        <v>0</v>
      </c>
      <c r="Y76" s="2" t="n">
        <v>0</v>
      </c>
      <c r="AG76" s="4"/>
    </row>
    <row r="77" s="2" customFormat="true" ht="12.8" hidden="false" customHeight="false" outlineLevel="0" collapsed="false">
      <c r="A77" s="1" t="s">
        <v>507</v>
      </c>
      <c r="B77" s="2" t="n">
        <v>64</v>
      </c>
      <c r="D77" s="2" t="s">
        <v>508</v>
      </c>
      <c r="E77" s="2" t="s">
        <v>509</v>
      </c>
      <c r="F77" s="2" t="s">
        <v>510</v>
      </c>
      <c r="H77" s="3" t="s">
        <v>511</v>
      </c>
      <c r="I77" s="2" t="str">
        <f aca="false">CONCATENATE("http://www.wikidata.org/entity/",H77)</f>
        <v>http://www.wikidata.org/entity/Q1371378</v>
      </c>
      <c r="J77" s="3" t="s">
        <v>512</v>
      </c>
      <c r="K77" s="2" t="str">
        <f aca="false">CONCATENATE("https://d-nb.info/gnd/",J77)</f>
        <v>https://d-nb.info/gnd/4153098-6</v>
      </c>
      <c r="L77" s="3" t="s">
        <v>513</v>
      </c>
      <c r="M77" s="2" t="str">
        <f aca="false">CONCATENATE("https://d-nb.info/gnd/",L77)</f>
        <v>https://d-nb.info/gnd/4202034-7</v>
      </c>
      <c r="N77" s="3"/>
      <c r="P77" s="3"/>
      <c r="R77" s="2" t="s">
        <v>508</v>
      </c>
      <c r="S77" s="2" t="s">
        <v>510</v>
      </c>
      <c r="X77" s="2" t="n">
        <v>0</v>
      </c>
      <c r="Y77" s="2" t="n">
        <v>0</v>
      </c>
      <c r="AG77" s="4"/>
    </row>
    <row r="78" s="2" customFormat="true" ht="12.8" hidden="false" customHeight="false" outlineLevel="0" collapsed="false">
      <c r="A78" s="1" t="s">
        <v>514</v>
      </c>
      <c r="B78" s="2" t="n">
        <v>65</v>
      </c>
      <c r="C78" s="2" t="n">
        <v>64</v>
      </c>
      <c r="D78" s="2" t="s">
        <v>515</v>
      </c>
      <c r="E78" s="2" t="s">
        <v>516</v>
      </c>
      <c r="F78" s="2" t="s">
        <v>517</v>
      </c>
      <c r="H78" s="3" t="s">
        <v>518</v>
      </c>
      <c r="I78" s="2" t="str">
        <f aca="false">CONCATENATE("http://www.wikidata.org/entity/",H78)</f>
        <v>http://www.wikidata.org/entity/Q12347522</v>
      </c>
      <c r="J78" s="3" t="s">
        <v>512</v>
      </c>
      <c r="K78" s="2" t="str">
        <f aca="false">CONCATENATE("https://d-nb.info/gnd/",J78)</f>
        <v>https://d-nb.info/gnd/4153098-6</v>
      </c>
      <c r="L78" s="3" t="s">
        <v>513</v>
      </c>
      <c r="M78" s="2" t="str">
        <f aca="false">CONCATENATE("https://d-nb.info/gnd/",L78)</f>
        <v>https://d-nb.info/gnd/4202034-7</v>
      </c>
      <c r="N78" s="3"/>
      <c r="P78" s="3"/>
      <c r="R78" s="2" t="s">
        <v>519</v>
      </c>
      <c r="S78" s="2" t="s">
        <v>520</v>
      </c>
      <c r="X78" s="2" t="n">
        <v>0</v>
      </c>
      <c r="Y78" s="2" t="n">
        <v>0</v>
      </c>
      <c r="AG78" s="4"/>
    </row>
    <row r="79" s="2" customFormat="true" ht="12.8" hidden="false" customHeight="false" outlineLevel="0" collapsed="false">
      <c r="A79" s="1" t="s">
        <v>521</v>
      </c>
      <c r="B79" s="2" t="n">
        <v>66</v>
      </c>
      <c r="D79" s="2" t="s">
        <v>522</v>
      </c>
      <c r="E79" s="2" t="s">
        <v>523</v>
      </c>
      <c r="F79" s="2" t="s">
        <v>524</v>
      </c>
      <c r="H79" s="3" t="s">
        <v>525</v>
      </c>
      <c r="I79" s="2" t="str">
        <f aca="false">CONCATENATE("http://www.wikidata.org/entity/",H79)</f>
        <v>http://www.wikidata.org/entity/Q947873</v>
      </c>
      <c r="J79" s="3"/>
      <c r="L79" s="3"/>
      <c r="N79" s="3"/>
      <c r="P79" s="3"/>
      <c r="R79" s="2" t="s">
        <v>522</v>
      </c>
      <c r="S79" s="2" t="s">
        <v>524</v>
      </c>
      <c r="X79" s="2" t="n">
        <v>0</v>
      </c>
      <c r="Y79" s="2" t="n">
        <v>0</v>
      </c>
      <c r="AG79" s="4"/>
    </row>
    <row r="80" s="2" customFormat="true" ht="12.8" hidden="false" customHeight="false" outlineLevel="0" collapsed="false">
      <c r="A80" s="1" t="s">
        <v>526</v>
      </c>
      <c r="B80" s="2" t="n">
        <v>67</v>
      </c>
      <c r="D80" s="2" t="s">
        <v>527</v>
      </c>
      <c r="F80" s="2" t="s">
        <v>528</v>
      </c>
      <c r="H80" s="3" t="s">
        <v>529</v>
      </c>
      <c r="I80" s="2" t="str">
        <f aca="false">CONCATENATE("http://www.wikidata.org/entity/",H80)</f>
        <v>http://www.wikidata.org/entity/Q1341445</v>
      </c>
      <c r="J80" s="3"/>
      <c r="L80" s="3"/>
      <c r="N80" s="3" t="s">
        <v>530</v>
      </c>
      <c r="O80" s="2" t="str">
        <f aca="false">CONCATENATE("https://d-nb.info/gnd/",N80)</f>
        <v>https://d-nb.info/gnd/4017117-6</v>
      </c>
      <c r="P80" s="3"/>
      <c r="R80" s="2" t="s">
        <v>527</v>
      </c>
      <c r="S80" s="2" t="s">
        <v>528</v>
      </c>
      <c r="X80" s="2" t="n">
        <v>0</v>
      </c>
      <c r="Y80" s="2" t="n">
        <v>0</v>
      </c>
      <c r="AG80" s="4"/>
    </row>
    <row r="81" s="2" customFormat="true" ht="12.8" hidden="false" customHeight="false" outlineLevel="0" collapsed="false">
      <c r="A81" s="1" t="s">
        <v>531</v>
      </c>
      <c r="B81" s="2" t="n">
        <v>68</v>
      </c>
      <c r="D81" s="2" t="s">
        <v>532</v>
      </c>
      <c r="E81" s="2" t="s">
        <v>533</v>
      </c>
      <c r="F81" s="2" t="s">
        <v>534</v>
      </c>
      <c r="H81" s="3" t="s">
        <v>535</v>
      </c>
      <c r="I81" s="2" t="str">
        <f aca="false">CONCATENATE("http://www.wikidata.org/entity/",H81)</f>
        <v>http://www.wikidata.org/entity/Q3282637</v>
      </c>
      <c r="J81" s="3" t="s">
        <v>536</v>
      </c>
      <c r="K81" s="2" t="str">
        <f aca="false">CONCATENATE("https://d-nb.info/gnd/",J81)</f>
        <v>https://d-nb.info/gnd/4324247-9</v>
      </c>
      <c r="L81" s="3" t="s">
        <v>537</v>
      </c>
      <c r="M81" s="2" t="str">
        <f aca="false">CONCATENATE("https://d-nb.info/gnd/",L81)</f>
        <v>https://d-nb.info/gnd/4472639-9</v>
      </c>
      <c r="N81" s="3"/>
      <c r="P81" s="3"/>
      <c r="R81" s="2" t="s">
        <v>532</v>
      </c>
      <c r="S81" s="2" t="s">
        <v>534</v>
      </c>
      <c r="X81" s="2" t="n">
        <v>0</v>
      </c>
      <c r="Y81" s="2" t="n">
        <v>1</v>
      </c>
      <c r="AG81" s="4"/>
    </row>
    <row r="82" s="2" customFormat="true" ht="12.8" hidden="false" customHeight="false" outlineLevel="0" collapsed="false">
      <c r="A82" s="1" t="s">
        <v>538</v>
      </c>
      <c r="B82" s="2" t="n">
        <v>69</v>
      </c>
      <c r="D82" s="2" t="s">
        <v>539</v>
      </c>
      <c r="E82" s="2" t="s">
        <v>540</v>
      </c>
      <c r="F82" s="2" t="s">
        <v>541</v>
      </c>
      <c r="H82" s="3" t="s">
        <v>542</v>
      </c>
      <c r="I82" s="2" t="str">
        <f aca="false">CONCATENATE("http://www.wikidata.org/entity/",H82)</f>
        <v>http://www.wikidata.org/entity/Q101084010</v>
      </c>
      <c r="J82" s="3"/>
      <c r="L82" s="3"/>
      <c r="N82" s="3"/>
      <c r="P82" s="3"/>
      <c r="R82" s="2" t="s">
        <v>539</v>
      </c>
      <c r="S82" s="2" t="s">
        <v>541</v>
      </c>
      <c r="X82" s="2" t="n">
        <v>0</v>
      </c>
      <c r="Y82" s="2" t="n">
        <v>0</v>
      </c>
      <c r="AG82" s="4"/>
    </row>
    <row r="83" s="2" customFormat="true" ht="12.8" hidden="false" customHeight="false" outlineLevel="0" collapsed="false">
      <c r="A83" s="1" t="s">
        <v>543</v>
      </c>
      <c r="B83" s="2" t="n">
        <v>70</v>
      </c>
      <c r="D83" s="2" t="s">
        <v>544</v>
      </c>
      <c r="E83" s="2" t="s">
        <v>545</v>
      </c>
      <c r="F83" s="2" t="s">
        <v>546</v>
      </c>
      <c r="H83" s="3" t="s">
        <v>547</v>
      </c>
      <c r="I83" s="2" t="str">
        <f aca="false">CONCATENATE("http://www.wikidata.org/entity/",H83)</f>
        <v>http://www.wikidata.org/entity/Q33231</v>
      </c>
      <c r="J83" s="3" t="s">
        <v>548</v>
      </c>
      <c r="K83" s="2" t="str">
        <f aca="false">CONCATENATE("https://d-nb.info/gnd/",J83)</f>
        <v>https://d-nb.info/gnd/4045893-3</v>
      </c>
      <c r="L83" s="3" t="s">
        <v>549</v>
      </c>
      <c r="M83" s="2" t="str">
        <f aca="false">CONCATENATE("https://d-nb.info/gnd/",L83)</f>
        <v>https://d-nb.info/gnd/4262252-9</v>
      </c>
      <c r="N83" s="3"/>
      <c r="P83" s="3" t="n">
        <v>300025687</v>
      </c>
      <c r="Q83" s="2" t="str">
        <f aca="false">CONCATENATE("https://vocab.getty.edu/aat/",P83)</f>
        <v>https://vocab.getty.edu/aat/300025687</v>
      </c>
      <c r="R83" s="2" t="s">
        <v>544</v>
      </c>
      <c r="S83" s="2" t="s">
        <v>546</v>
      </c>
      <c r="X83" s="2" t="n">
        <v>0</v>
      </c>
      <c r="Y83" s="2" t="n">
        <v>0</v>
      </c>
      <c r="AG83" s="4"/>
    </row>
    <row r="84" s="2" customFormat="true" ht="12.8" hidden="false" customHeight="false" outlineLevel="0" collapsed="false">
      <c r="A84" s="1" t="s">
        <v>550</v>
      </c>
      <c r="B84" s="2" t="n">
        <v>71</v>
      </c>
      <c r="C84" s="2" t="n">
        <v>70</v>
      </c>
      <c r="D84" s="2" t="s">
        <v>551</v>
      </c>
      <c r="E84" s="2" t="s">
        <v>552</v>
      </c>
      <c r="F84" s="2" t="s">
        <v>553</v>
      </c>
      <c r="H84" s="3" t="s">
        <v>554</v>
      </c>
      <c r="I84" s="2" t="str">
        <f aca="false">CONCATENATE("http://www.wikidata.org/entity/",H84)</f>
        <v>http://www.wikidata.org/entity/Q20743434</v>
      </c>
      <c r="J84" s="3"/>
      <c r="L84" s="3"/>
      <c r="N84" s="3"/>
      <c r="P84" s="3" t="n">
        <v>300025699</v>
      </c>
      <c r="Q84" s="2" t="str">
        <f aca="false">CONCATENATE("https://vocab.getty.edu/aat/",P84)</f>
        <v>https://vocab.getty.edu/aat/300025699</v>
      </c>
      <c r="R84" s="2" t="s">
        <v>555</v>
      </c>
      <c r="S84" s="2" t="s">
        <v>556</v>
      </c>
      <c r="X84" s="2" t="n">
        <v>0</v>
      </c>
      <c r="Y84" s="2" t="n">
        <v>0</v>
      </c>
      <c r="AG84" s="4"/>
    </row>
    <row r="85" s="2" customFormat="true" ht="12.8" hidden="false" customHeight="false" outlineLevel="0" collapsed="false">
      <c r="A85" s="1" t="s">
        <v>557</v>
      </c>
      <c r="B85" s="2" t="n">
        <v>72</v>
      </c>
      <c r="C85" s="2" t="n">
        <v>70</v>
      </c>
      <c r="D85" s="2" t="s">
        <v>558</v>
      </c>
      <c r="E85" s="2" t="s">
        <v>559</v>
      </c>
      <c r="F85" s="2" t="s">
        <v>560</v>
      </c>
      <c r="H85" s="3" t="s">
        <v>561</v>
      </c>
      <c r="I85" s="2" t="str">
        <f aca="false">CONCATENATE("http://www.wikidata.org/entity/",H85)</f>
        <v>http://www.wikidata.org/entity/Q12166078</v>
      </c>
      <c r="J85" s="3"/>
      <c r="L85" s="3"/>
      <c r="N85" s="3"/>
      <c r="P85" s="3" t="n">
        <v>300435143</v>
      </c>
      <c r="Q85" s="2" t="str">
        <f aca="false">CONCATENATE("https://vocab.getty.edu/aat/",P85)</f>
        <v>https://vocab.getty.edu/aat/300435143</v>
      </c>
      <c r="R85" s="2" t="s">
        <v>562</v>
      </c>
      <c r="S85" s="2" t="s">
        <v>563</v>
      </c>
      <c r="X85" s="2" t="n">
        <v>1</v>
      </c>
      <c r="Y85" s="2" t="n">
        <v>0</v>
      </c>
      <c r="AG85" s="4"/>
    </row>
    <row r="86" s="2" customFormat="true" ht="12.8" hidden="false" customHeight="false" outlineLevel="0" collapsed="false">
      <c r="A86" s="1" t="s">
        <v>564</v>
      </c>
      <c r="B86" s="2" t="n">
        <v>73</v>
      </c>
      <c r="D86" s="2" t="s">
        <v>565</v>
      </c>
      <c r="E86" s="2" t="s">
        <v>566</v>
      </c>
      <c r="F86" s="2" t="s">
        <v>567</v>
      </c>
      <c r="G86" s="2" t="s">
        <v>568</v>
      </c>
      <c r="H86" s="3" t="s">
        <v>569</v>
      </c>
      <c r="I86" s="2" t="str">
        <f aca="false">CONCATENATE("http://www.wikidata.org/entity/",H86)</f>
        <v>http://www.wikidata.org/entity/Q2005653</v>
      </c>
      <c r="J86" s="3" t="s">
        <v>570</v>
      </c>
      <c r="K86" s="2" t="str">
        <f aca="false">CONCATENATE("https://d-nb.info/gnd/",J86)</f>
        <v>https://d-nb.info/gnd/4020360-8</v>
      </c>
      <c r="L86" s="3"/>
      <c r="N86" s="3"/>
      <c r="P86" s="3"/>
      <c r="R86" s="2" t="s">
        <v>565</v>
      </c>
      <c r="S86" s="2" t="s">
        <v>567</v>
      </c>
      <c r="X86" s="2" t="n">
        <v>0</v>
      </c>
      <c r="Y86" s="2" t="n">
        <v>0</v>
      </c>
      <c r="AG86" s="4"/>
    </row>
    <row r="87" s="2" customFormat="true" ht="12.8" hidden="false" customHeight="false" outlineLevel="0" collapsed="false">
      <c r="A87" s="1" t="s">
        <v>571</v>
      </c>
      <c r="B87" s="2" t="n">
        <v>74</v>
      </c>
      <c r="D87" s="2" t="s">
        <v>572</v>
      </c>
      <c r="E87" s="2" t="s">
        <v>573</v>
      </c>
      <c r="F87" s="2" t="s">
        <v>574</v>
      </c>
      <c r="G87" s="2" t="s">
        <v>575</v>
      </c>
      <c r="H87" s="3" t="s">
        <v>576</v>
      </c>
      <c r="I87" s="2" t="str">
        <f aca="false">CONCATENATE("http://www.wikidata.org/entity/",H87)</f>
        <v>http://www.wikidata.org/entity/Q7939609</v>
      </c>
      <c r="J87" s="3" t="s">
        <v>577</v>
      </c>
      <c r="K87" s="2" t="str">
        <f aca="false">CONCATENATE("https://d-nb.info/gnd/",J87)</f>
        <v>https://d-nb.info/gnd/7628966-7</v>
      </c>
      <c r="L87" s="3" t="s">
        <v>578</v>
      </c>
      <c r="M87" s="2" t="str">
        <f aca="false">CONCATENATE("https://d-nb.info/gnd/",L87)</f>
        <v>https://d-nb.info/gnd/7628964-3</v>
      </c>
      <c r="N87" s="3"/>
      <c r="P87" s="3"/>
      <c r="R87" s="2" t="s">
        <v>572</v>
      </c>
      <c r="S87" s="2" t="s">
        <v>574</v>
      </c>
      <c r="X87" s="2" t="n">
        <v>0</v>
      </c>
      <c r="Y87" s="2" t="n">
        <v>0</v>
      </c>
      <c r="AG87" s="4"/>
    </row>
    <row r="88" s="2" customFormat="true" ht="12.8" hidden="false" customHeight="false" outlineLevel="0" collapsed="false">
      <c r="A88" s="1" t="s">
        <v>579</v>
      </c>
      <c r="B88" s="2" t="n">
        <v>75</v>
      </c>
      <c r="D88" s="2" t="s">
        <v>580</v>
      </c>
      <c r="E88" s="2" t="s">
        <v>581</v>
      </c>
      <c r="F88" s="2" t="s">
        <v>582</v>
      </c>
      <c r="G88" s="2" t="s">
        <v>583</v>
      </c>
      <c r="H88" s="3" t="s">
        <v>584</v>
      </c>
      <c r="I88" s="2" t="str">
        <f aca="false">CONCATENATE("http://www.wikidata.org/entity/",H88)</f>
        <v>http://www.wikidata.org/entity/Q96036333</v>
      </c>
      <c r="J88" s="3"/>
      <c r="L88" s="3"/>
      <c r="N88" s="3"/>
      <c r="P88" s="3"/>
      <c r="R88" s="2" t="s">
        <v>580</v>
      </c>
      <c r="S88" s="2" t="s">
        <v>582</v>
      </c>
      <c r="X88" s="2" t="n">
        <v>0</v>
      </c>
      <c r="Y88" s="2" t="n">
        <v>0</v>
      </c>
      <c r="AG88" s="4"/>
    </row>
    <row r="89" s="2" customFormat="true" ht="12.8" hidden="false" customHeight="false" outlineLevel="0" collapsed="false">
      <c r="A89" s="1" t="s">
        <v>585</v>
      </c>
      <c r="B89" s="2" t="n">
        <v>76</v>
      </c>
      <c r="D89" s="2" t="s">
        <v>586</v>
      </c>
      <c r="E89" s="2" t="s">
        <v>587</v>
      </c>
      <c r="F89" s="2" t="s">
        <v>588</v>
      </c>
      <c r="H89" s="3" t="s">
        <v>589</v>
      </c>
      <c r="I89" s="2" t="str">
        <f aca="false">CONCATENATE("http://www.wikidata.org/entity/",H89)</f>
        <v>http://www.wikidata.org/entity/Q3274496</v>
      </c>
      <c r="J89" s="3"/>
      <c r="L89" s="3"/>
      <c r="N89" s="3"/>
      <c r="P89" s="3"/>
      <c r="R89" s="2" t="s">
        <v>586</v>
      </c>
      <c r="S89" s="2" t="s">
        <v>588</v>
      </c>
      <c r="X89" s="2" t="n">
        <v>0</v>
      </c>
      <c r="Y89" s="2" t="n">
        <v>0</v>
      </c>
      <c r="AG89" s="4"/>
    </row>
    <row r="90" s="2" customFormat="true" ht="12.8" hidden="false" customHeight="false" outlineLevel="0" collapsed="false">
      <c r="A90" s="1" t="s">
        <v>590</v>
      </c>
      <c r="B90" s="2" t="n">
        <v>77</v>
      </c>
      <c r="D90" s="2" t="s">
        <v>591</v>
      </c>
      <c r="E90" s="2" t="s">
        <v>592</v>
      </c>
      <c r="F90" s="2" t="s">
        <v>593</v>
      </c>
      <c r="G90" s="2" t="s">
        <v>594</v>
      </c>
      <c r="H90" s="3" t="s">
        <v>595</v>
      </c>
      <c r="I90" s="2" t="str">
        <f aca="false">CONCATENATE("http://www.wikidata.org/entity/",H90)</f>
        <v>http://www.wikidata.org/entity/Q3704253</v>
      </c>
      <c r="J90" s="3" t="s">
        <v>596</v>
      </c>
      <c r="K90" s="2" t="str">
        <f aca="false">CONCATENATE("https://d-nb.info/gnd/",J90)</f>
        <v>https://d-nb.info/gnd/4221401-4</v>
      </c>
      <c r="L90" s="3" t="s">
        <v>597</v>
      </c>
      <c r="M90" s="2" t="str">
        <f aca="false">CONCATENATE("https://d-nb.info/gnd/",L90)</f>
        <v>https://d-nb.info/gnd/4158695-5</v>
      </c>
      <c r="N90" s="3"/>
      <c r="P90" s="3" t="n">
        <v>300025236</v>
      </c>
      <c r="Q90" s="2" t="str">
        <f aca="false">CONCATENATE("https://vocab.getty.edu/aat/",P90)</f>
        <v>https://vocab.getty.edu/aat/300025236</v>
      </c>
      <c r="R90" s="2" t="s">
        <v>591</v>
      </c>
      <c r="S90" s="2" t="s">
        <v>593</v>
      </c>
      <c r="X90" s="2" t="n">
        <v>0</v>
      </c>
      <c r="Y90" s="2" t="n">
        <v>0</v>
      </c>
      <c r="AG90" s="4"/>
    </row>
    <row r="91" s="2" customFormat="true" ht="12.8" hidden="false" customHeight="false" outlineLevel="0" collapsed="false">
      <c r="A91" s="1" t="s">
        <v>598</v>
      </c>
      <c r="B91" s="2" t="n">
        <v>78</v>
      </c>
      <c r="C91" s="2" t="n">
        <v>77</v>
      </c>
      <c r="D91" s="2" t="s">
        <v>599</v>
      </c>
      <c r="E91" s="2" t="s">
        <v>600</v>
      </c>
      <c r="F91" s="2" t="s">
        <v>601</v>
      </c>
      <c r="G91" s="2" t="s">
        <v>602</v>
      </c>
      <c r="H91" s="3" t="s">
        <v>603</v>
      </c>
      <c r="I91" s="2" t="str">
        <f aca="false">CONCATENATE("http://www.wikidata.org/entity/",H91)</f>
        <v>http://www.wikidata.org/entity/Q21422876</v>
      </c>
      <c r="J91" s="3"/>
      <c r="L91" s="3"/>
      <c r="N91" s="3"/>
      <c r="P91" s="3"/>
      <c r="R91" s="2" t="s">
        <v>604</v>
      </c>
      <c r="S91" s="2" t="s">
        <v>605</v>
      </c>
      <c r="X91" s="2" t="n">
        <v>0</v>
      </c>
      <c r="Y91" s="2" t="n">
        <v>0</v>
      </c>
      <c r="AG91" s="4"/>
    </row>
    <row r="92" s="2" customFormat="true" ht="12.8" hidden="false" customHeight="false" outlineLevel="0" collapsed="false">
      <c r="A92" s="1" t="s">
        <v>606</v>
      </c>
      <c r="B92" s="2" t="n">
        <v>79</v>
      </c>
      <c r="C92" s="2" t="n">
        <v>77</v>
      </c>
      <c r="D92" s="2" t="s">
        <v>607</v>
      </c>
      <c r="E92" s="2" t="s">
        <v>608</v>
      </c>
      <c r="F92" s="2" t="s">
        <v>609</v>
      </c>
      <c r="H92" s="3" t="s">
        <v>610</v>
      </c>
      <c r="I92" s="2" t="str">
        <f aca="false">CONCATENATE("http://www.wikidata.org/entity/",H92)</f>
        <v>http://www.wikidata.org/entity/Q123095338</v>
      </c>
      <c r="J92" s="3"/>
      <c r="L92" s="3"/>
      <c r="N92" s="3"/>
      <c r="P92" s="3"/>
      <c r="R92" s="2" t="s">
        <v>611</v>
      </c>
      <c r="S92" s="2" t="s">
        <v>612</v>
      </c>
      <c r="X92" s="2" t="n">
        <v>0</v>
      </c>
      <c r="Y92" s="2" t="n">
        <v>0</v>
      </c>
      <c r="AG92" s="4"/>
    </row>
    <row r="93" s="2" customFormat="true" ht="12.8" hidden="false" customHeight="false" outlineLevel="0" collapsed="false">
      <c r="A93" s="1" t="s">
        <v>613</v>
      </c>
      <c r="B93" s="2" t="n">
        <v>80</v>
      </c>
      <c r="C93" s="2" t="n">
        <v>77</v>
      </c>
      <c r="D93" s="2" t="s">
        <v>614</v>
      </c>
      <c r="E93" s="2" t="s">
        <v>615</v>
      </c>
      <c r="F93" s="2" t="s">
        <v>616</v>
      </c>
      <c r="G93" s="2" t="s">
        <v>617</v>
      </c>
      <c r="H93" s="3" t="s">
        <v>618</v>
      </c>
      <c r="I93" s="2" t="str">
        <f aca="false">CONCATENATE("http://www.wikidata.org/entity/",H93)</f>
        <v>http://www.wikidata.org/entity/Q1955056</v>
      </c>
      <c r="J93" s="3"/>
      <c r="L93" s="3"/>
      <c r="N93" s="3"/>
      <c r="P93" s="3"/>
      <c r="R93" s="2" t="s">
        <v>619</v>
      </c>
      <c r="S93" s="2" t="s">
        <v>620</v>
      </c>
      <c r="X93" s="2" t="n">
        <v>0</v>
      </c>
      <c r="Y93" s="2" t="n">
        <v>0</v>
      </c>
      <c r="AG93" s="4"/>
    </row>
    <row r="94" s="2" customFormat="true" ht="12.8" hidden="false" customHeight="false" outlineLevel="0" collapsed="false">
      <c r="A94" s="1" t="s">
        <v>621</v>
      </c>
      <c r="B94" s="2" t="n">
        <v>81</v>
      </c>
      <c r="C94" s="2" t="n">
        <v>77</v>
      </c>
      <c r="D94" s="2" t="s">
        <v>622</v>
      </c>
      <c r="E94" s="2" t="s">
        <v>623</v>
      </c>
      <c r="F94" s="2" t="s">
        <v>624</v>
      </c>
      <c r="H94" s="3" t="s">
        <v>625</v>
      </c>
      <c r="I94" s="2" t="str">
        <f aca="false">CONCATENATE("http://www.wikidata.org/entity/",H94)</f>
        <v>http://www.wikidata.org/entity/Q24309558</v>
      </c>
      <c r="J94" s="3"/>
      <c r="L94" s="3"/>
      <c r="N94" s="3"/>
      <c r="P94" s="3" t="n">
        <v>300312195</v>
      </c>
      <c r="Q94" s="2" t="str">
        <f aca="false">CONCATENATE("https://vocab.getty.edu/aat/",P94)</f>
        <v>https://vocab.getty.edu/aat/300312195</v>
      </c>
      <c r="R94" s="2" t="s">
        <v>626</v>
      </c>
      <c r="S94" s="2" t="s">
        <v>627</v>
      </c>
      <c r="X94" s="2" t="n">
        <v>0</v>
      </c>
      <c r="Y94" s="2" t="n">
        <v>0</v>
      </c>
      <c r="AG94" s="4"/>
    </row>
    <row r="95" s="2" customFormat="true" ht="12.8" hidden="false" customHeight="false" outlineLevel="0" collapsed="false">
      <c r="A95" s="1" t="s">
        <v>628</v>
      </c>
      <c r="B95" s="2" t="n">
        <v>82</v>
      </c>
      <c r="D95" s="2" t="s">
        <v>629</v>
      </c>
      <c r="E95" s="2" t="s">
        <v>630</v>
      </c>
      <c r="F95" s="2" t="s">
        <v>631</v>
      </c>
      <c r="H95" s="3" t="s">
        <v>632</v>
      </c>
      <c r="I95" s="2" t="str">
        <f aca="false">CONCATENATE("http://www.wikidata.org/entity/",H95)</f>
        <v>http://www.wikidata.org/entity/Q13235160</v>
      </c>
      <c r="J95" s="3" t="s">
        <v>633</v>
      </c>
      <c r="K95" s="2" t="str">
        <f aca="false">CONCATENATE("https://d-nb.info/gnd/",J95)</f>
        <v>https://d-nb.info/gnd/4175820-1</v>
      </c>
      <c r="L95" s="3" t="s">
        <v>634</v>
      </c>
      <c r="M95" s="2" t="str">
        <f aca="false">CONCATENATE("https://d-nb.info/gnd/",L95)</f>
        <v>https://d-nb.info/gnd/4465426-1</v>
      </c>
      <c r="N95" s="3"/>
      <c r="P95" s="3" t="n">
        <v>300025230</v>
      </c>
      <c r="Q95" s="2" t="str">
        <f aca="false">CONCATENATE("https://vocab.getty.edu/aat/",P95)</f>
        <v>https://vocab.getty.edu/aat/300025230</v>
      </c>
      <c r="R95" s="2" t="s">
        <v>629</v>
      </c>
      <c r="S95" s="2" t="s">
        <v>631</v>
      </c>
      <c r="X95" s="2" t="n">
        <v>0</v>
      </c>
      <c r="Y95" s="2" t="n">
        <v>0</v>
      </c>
      <c r="AG95" s="4"/>
    </row>
    <row r="96" s="2" customFormat="true" ht="12.8" hidden="false" customHeight="false" outlineLevel="0" collapsed="false">
      <c r="A96" s="1" t="s">
        <v>635</v>
      </c>
      <c r="B96" s="2" t="n">
        <v>83</v>
      </c>
      <c r="D96" s="2" t="s">
        <v>636</v>
      </c>
      <c r="E96" s="2" t="s">
        <v>637</v>
      </c>
      <c r="F96" s="2" t="s">
        <v>638</v>
      </c>
      <c r="H96" s="3" t="s">
        <v>639</v>
      </c>
      <c r="I96" s="2" t="str">
        <f aca="false">CONCATENATE("http://www.wikidata.org/entity/",H96)</f>
        <v>http://www.wikidata.org/entity/Q201788</v>
      </c>
      <c r="J96" s="3" t="s">
        <v>640</v>
      </c>
      <c r="K96" s="2" t="str">
        <f aca="false">CONCATENATE("https://d-nb.info/gnd/",J96)</f>
        <v>https://d-nb.info/gnd/4025098-2</v>
      </c>
      <c r="L96" s="3" t="s">
        <v>641</v>
      </c>
      <c r="M96" s="2" t="str">
        <f aca="false">CONCATENATE("https://d-nb.info/gnd/",L96)</f>
        <v>https://d-nb.info/gnd/4333423-4</v>
      </c>
      <c r="N96" s="3"/>
      <c r="P96" s="3" t="n">
        <v>300025539</v>
      </c>
      <c r="Q96" s="2" t="str">
        <f aca="false">CONCATENATE("https://vocab.getty.edu/aat/",P96)</f>
        <v>https://vocab.getty.edu/aat/300025539</v>
      </c>
      <c r="R96" s="2" t="s">
        <v>636</v>
      </c>
      <c r="S96" s="2" t="s">
        <v>638</v>
      </c>
      <c r="X96" s="2" t="n">
        <v>0</v>
      </c>
      <c r="Y96" s="2" t="n">
        <v>0</v>
      </c>
      <c r="AG96" s="4"/>
    </row>
    <row r="97" s="2" customFormat="true" ht="12.8" hidden="false" customHeight="false" outlineLevel="0" collapsed="false">
      <c r="A97" s="1" t="s">
        <v>642</v>
      </c>
      <c r="B97" s="2" t="n">
        <v>84</v>
      </c>
      <c r="D97" s="2" t="s">
        <v>643</v>
      </c>
      <c r="E97" s="2" t="s">
        <v>644</v>
      </c>
      <c r="F97" s="2" t="s">
        <v>645</v>
      </c>
      <c r="H97" s="3" t="s">
        <v>646</v>
      </c>
      <c r="I97" s="2" t="str">
        <f aca="false">CONCATENATE("http://www.wikidata.org/entity/",H97)</f>
        <v>http://www.wikidata.org/entity/Q25616474</v>
      </c>
      <c r="J97" s="3"/>
      <c r="L97" s="3"/>
      <c r="N97" s="3"/>
      <c r="P97" s="3"/>
      <c r="R97" s="2" t="s">
        <v>643</v>
      </c>
      <c r="S97" s="2" t="s">
        <v>645</v>
      </c>
      <c r="X97" s="2" t="n">
        <v>0</v>
      </c>
      <c r="Y97" s="2" t="n">
        <v>1</v>
      </c>
      <c r="AG97" s="4"/>
    </row>
    <row r="98" s="2" customFormat="true" ht="12.8" hidden="false" customHeight="false" outlineLevel="0" collapsed="false">
      <c r="A98" s="1" t="s">
        <v>647</v>
      </c>
      <c r="B98" s="2" t="n">
        <v>85</v>
      </c>
      <c r="C98" s="2" t="n">
        <v>84</v>
      </c>
      <c r="D98" s="2" t="s">
        <v>648</v>
      </c>
      <c r="E98" s="2" t="s">
        <v>649</v>
      </c>
      <c r="F98" s="2" t="s">
        <v>650</v>
      </c>
      <c r="H98" s="3" t="s">
        <v>651</v>
      </c>
      <c r="I98" s="2" t="str">
        <f aca="false">CONCATENATE("http://www.wikidata.org/entity/",H98)</f>
        <v>http://www.wikidata.org/entity/Q3074722</v>
      </c>
      <c r="J98" s="3" t="s">
        <v>652</v>
      </c>
      <c r="K98" s="2" t="str">
        <f aca="false">CONCATENATE("https://d-nb.info/gnd/",J98)</f>
        <v>https://d-nb.info/gnd/7591635-6</v>
      </c>
      <c r="L98" s="3" t="s">
        <v>653</v>
      </c>
      <c r="M98" s="2" t="str">
        <f aca="false">CONCATENATE("https://d-nb.info/gnd/",L98)</f>
        <v>https://d-nb.info/gnd/7622250-0</v>
      </c>
      <c r="N98" s="3"/>
      <c r="P98" s="3"/>
      <c r="R98" s="2" t="s">
        <v>654</v>
      </c>
      <c r="S98" s="2" t="s">
        <v>655</v>
      </c>
      <c r="X98" s="2" t="n">
        <v>0</v>
      </c>
      <c r="Y98" s="2" t="n">
        <v>1</v>
      </c>
      <c r="AG98" s="4"/>
    </row>
    <row r="99" s="2" customFormat="true" ht="12.8" hidden="false" customHeight="false" outlineLevel="0" collapsed="false">
      <c r="A99" s="1" t="s">
        <v>656</v>
      </c>
      <c r="B99" s="2" t="n">
        <v>86</v>
      </c>
      <c r="C99" s="2" t="n">
        <v>84</v>
      </c>
      <c r="D99" s="2" t="s">
        <v>657</v>
      </c>
      <c r="E99" s="2" t="s">
        <v>658</v>
      </c>
      <c r="F99" s="2" t="s">
        <v>659</v>
      </c>
      <c r="H99" s="3" t="s">
        <v>660</v>
      </c>
      <c r="I99" s="2" t="str">
        <f aca="false">CONCATENATE("http://www.wikidata.org/entity/",H99)</f>
        <v>http://www.wikidata.org/entity/Q21550382</v>
      </c>
      <c r="J99" s="3" t="s">
        <v>661</v>
      </c>
      <c r="K99" s="2" t="str">
        <f aca="false">CONCATENATE("https://d-nb.info/gnd/",J99)</f>
        <v>https://d-nb.info/gnd/4387942-1</v>
      </c>
      <c r="L99" s="3"/>
      <c r="N99" s="3"/>
      <c r="P99" s="3"/>
      <c r="R99" s="2" t="s">
        <v>662</v>
      </c>
      <c r="S99" s="2" t="s">
        <v>663</v>
      </c>
      <c r="X99" s="2" t="n">
        <v>0</v>
      </c>
      <c r="Y99" s="2" t="n">
        <v>1</v>
      </c>
      <c r="AG99" s="4"/>
    </row>
    <row r="100" s="2" customFormat="true" ht="12.8" hidden="false" customHeight="false" outlineLevel="0" collapsed="false">
      <c r="A100" s="1" t="s">
        <v>664</v>
      </c>
      <c r="B100" s="2" t="n">
        <v>87</v>
      </c>
      <c r="C100" s="2" t="n">
        <v>84</v>
      </c>
      <c r="D100" s="2" t="s">
        <v>665</v>
      </c>
      <c r="E100" s="2" t="s">
        <v>666</v>
      </c>
      <c r="F100" s="2" t="s">
        <v>667</v>
      </c>
      <c r="H100" s="3" t="s">
        <v>668</v>
      </c>
      <c r="I100" s="2" t="str">
        <f aca="false">CONCATENATE("http://www.wikidata.org/entity/",H100)</f>
        <v>http://www.wikidata.org/entity/Q12310971</v>
      </c>
      <c r="J100" s="3" t="s">
        <v>669</v>
      </c>
      <c r="K100" s="2" t="str">
        <f aca="false">CONCATENATE("https://d-nb.info/gnd/",J100)</f>
        <v>https://d-nb.info/gnd/4738419-0</v>
      </c>
      <c r="L100" s="3" t="s">
        <v>670</v>
      </c>
      <c r="M100" s="2" t="str">
        <f aca="false">CONCATENATE("https://d-nb.info/gnd/",L100)</f>
        <v>https://d-nb.info/gnd/7553307-8</v>
      </c>
      <c r="N100" s="3"/>
      <c r="P100" s="3"/>
      <c r="R100" s="2" t="s">
        <v>671</v>
      </c>
      <c r="S100" s="2" t="s">
        <v>672</v>
      </c>
      <c r="X100" s="2" t="n">
        <v>0</v>
      </c>
      <c r="Y100" s="2" t="n">
        <v>1</v>
      </c>
      <c r="AG100" s="4"/>
    </row>
    <row r="101" s="2" customFormat="true" ht="12.8" hidden="false" customHeight="false" outlineLevel="0" collapsed="false">
      <c r="A101" s="1" t="s">
        <v>673</v>
      </c>
      <c r="B101" s="2" t="n">
        <v>88</v>
      </c>
      <c r="C101" s="2" t="n">
        <v>84</v>
      </c>
      <c r="D101" s="2" t="s">
        <v>674</v>
      </c>
      <c r="E101" s="2" t="s">
        <v>675</v>
      </c>
      <c r="F101" s="2" t="s">
        <v>676</v>
      </c>
      <c r="H101" s="3" t="s">
        <v>677</v>
      </c>
      <c r="I101" s="2" t="str">
        <f aca="false">CONCATENATE("http://www.wikidata.org/entity/",H101)</f>
        <v>http://www.wikidata.org/entity/Q12902372</v>
      </c>
      <c r="J101" s="3" t="s">
        <v>678</v>
      </c>
      <c r="K101" s="2" t="str">
        <f aca="false">CONCATENATE("https://d-nb.info/gnd/",J101)</f>
        <v>https://d-nb.info/gnd/4126534-8</v>
      </c>
      <c r="L101" s="3" t="s">
        <v>679</v>
      </c>
      <c r="M101" s="2" t="str">
        <f aca="false">CONCATENATE("https://d-nb.info/gnd/",L101)</f>
        <v>https://d-nb.info/gnd/7553310-8</v>
      </c>
      <c r="N101" s="3"/>
      <c r="P101" s="3" t="n">
        <v>300235053</v>
      </c>
      <c r="Q101" s="2" t="str">
        <f aca="false">CONCATENATE("https://vocab.getty.edu/aat/",P101)</f>
        <v>https://vocab.getty.edu/aat/300235053</v>
      </c>
      <c r="R101" s="2" t="s">
        <v>680</v>
      </c>
      <c r="S101" s="2" t="s">
        <v>681</v>
      </c>
      <c r="X101" s="2" t="n">
        <v>0</v>
      </c>
      <c r="Y101" s="2" t="n">
        <v>1</v>
      </c>
      <c r="AG101" s="4"/>
    </row>
    <row r="102" s="2" customFormat="true" ht="12.8" hidden="false" customHeight="false" outlineLevel="0" collapsed="false">
      <c r="A102" s="1" t="s">
        <v>682</v>
      </c>
      <c r="B102" s="2" t="n">
        <v>89</v>
      </c>
      <c r="C102" s="2" t="n">
        <v>88</v>
      </c>
      <c r="D102" s="2" t="s">
        <v>683</v>
      </c>
      <c r="E102" s="2" t="s">
        <v>684</v>
      </c>
      <c r="F102" s="2" t="s">
        <v>685</v>
      </c>
      <c r="H102" s="3" t="s">
        <v>686</v>
      </c>
      <c r="I102" s="2" t="str">
        <f aca="false">CONCATENATE("http://www.wikidata.org/entity/",H102)</f>
        <v>http://www.wikidata.org/entity/Q107888647</v>
      </c>
      <c r="J102" s="3"/>
      <c r="L102" s="3"/>
      <c r="N102" s="3"/>
      <c r="P102" s="3"/>
      <c r="R102" s="2" t="s">
        <v>687</v>
      </c>
      <c r="S102" s="2" t="s">
        <v>688</v>
      </c>
      <c r="X102" s="2" t="n">
        <v>0</v>
      </c>
      <c r="Y102" s="2" t="n">
        <v>1</v>
      </c>
      <c r="AG102" s="4"/>
    </row>
    <row r="103" s="2" customFormat="true" ht="12.8" hidden="false" customHeight="false" outlineLevel="0" collapsed="false">
      <c r="A103" s="1" t="s">
        <v>689</v>
      </c>
      <c r="B103" s="2" t="n">
        <v>90</v>
      </c>
      <c r="C103" s="2" t="n">
        <v>84</v>
      </c>
      <c r="D103" s="2" t="s">
        <v>690</v>
      </c>
      <c r="E103" s="2" t="s">
        <v>691</v>
      </c>
      <c r="F103" s="2" t="s">
        <v>692</v>
      </c>
      <c r="H103" s="3" t="s">
        <v>693</v>
      </c>
      <c r="I103" s="2" t="str">
        <f aca="false">CONCATENATE("http://www.wikidata.org/entity/",H103)</f>
        <v>http://www.wikidata.org/entity/Q118865</v>
      </c>
      <c r="J103" s="3" t="s">
        <v>694</v>
      </c>
      <c r="K103" s="2" t="str">
        <f aca="false">CONCATENATE("https://d-nb.info/gnd/",J103)</f>
        <v>https://d-nb.info/gnd/4749746-4</v>
      </c>
      <c r="L103" s="3" t="s">
        <v>695</v>
      </c>
      <c r="M103" s="2" t="str">
        <f aca="false">CONCATENATE("https://d-nb.info/gnd/",L103)</f>
        <v>https://d-nb.info/gnd/7553335-2</v>
      </c>
      <c r="N103" s="3"/>
      <c r="P103" s="3" t="n">
        <v>300235050</v>
      </c>
      <c r="Q103" s="2" t="str">
        <f aca="false">CONCATENATE("https://vocab.getty.edu/aat/",P103)</f>
        <v>https://vocab.getty.edu/aat/300235050</v>
      </c>
      <c r="R103" s="2" t="s">
        <v>696</v>
      </c>
      <c r="S103" s="2" t="s">
        <v>697</v>
      </c>
      <c r="X103" s="2" t="n">
        <v>0</v>
      </c>
      <c r="Y103" s="2" t="n">
        <v>1</v>
      </c>
      <c r="AG103" s="4"/>
    </row>
    <row r="104" s="2" customFormat="true" ht="12.8" hidden="false" customHeight="false" outlineLevel="0" collapsed="false">
      <c r="A104" s="1" t="s">
        <v>698</v>
      </c>
      <c r="B104" s="2" t="n">
        <v>91</v>
      </c>
      <c r="C104" s="2" t="n">
        <v>84</v>
      </c>
      <c r="D104" s="2" t="s">
        <v>699</v>
      </c>
      <c r="E104" s="2" t="s">
        <v>700</v>
      </c>
      <c r="F104" s="2" t="s">
        <v>701</v>
      </c>
      <c r="H104" s="3" t="s">
        <v>702</v>
      </c>
      <c r="I104" s="2" t="str">
        <f aca="false">CONCATENATE("http://www.wikidata.org/entity/",H104)</f>
        <v>http://www.wikidata.org/entity/Q16003954</v>
      </c>
      <c r="J104" s="3" t="s">
        <v>703</v>
      </c>
      <c r="K104" s="2" t="str">
        <f aca="false">CONCATENATE("https://d-nb.info/gnd/",J104)</f>
        <v>https://d-nb.info/gnd/4442748-7</v>
      </c>
      <c r="L104" s="3" t="s">
        <v>704</v>
      </c>
      <c r="M104" s="2" t="str">
        <f aca="false">CONCATENATE("https://d-nb.info/gnd/",L104)</f>
        <v>https://d-nb.info/gnd/4842456-0</v>
      </c>
      <c r="N104" s="3"/>
      <c r="P104" s="3" t="n">
        <v>300235062</v>
      </c>
      <c r="Q104" s="2" t="str">
        <f aca="false">CONCATENATE("https://vocab.getty.edu/aat/",P104)</f>
        <v>https://vocab.getty.edu/aat/300235062</v>
      </c>
      <c r="R104" s="2" t="s">
        <v>705</v>
      </c>
      <c r="S104" s="2" t="s">
        <v>706</v>
      </c>
      <c r="X104" s="2" t="n">
        <v>0</v>
      </c>
      <c r="Y104" s="2" t="n">
        <v>1</v>
      </c>
      <c r="AG104" s="4"/>
    </row>
    <row r="105" s="2" customFormat="true" ht="12.8" hidden="false" customHeight="false" outlineLevel="0" collapsed="false">
      <c r="A105" s="1" t="s">
        <v>707</v>
      </c>
      <c r="B105" s="2" t="n">
        <v>92</v>
      </c>
      <c r="C105" s="2" t="n">
        <v>84</v>
      </c>
      <c r="D105" s="2" t="s">
        <v>708</v>
      </c>
      <c r="E105" s="2" t="s">
        <v>709</v>
      </c>
      <c r="F105" s="2" t="s">
        <v>710</v>
      </c>
      <c r="H105" s="3" t="s">
        <v>711</v>
      </c>
      <c r="I105" s="2" t="str">
        <f aca="false">CONCATENATE("http://www.wikidata.org/entity/",H105)</f>
        <v>http://www.wikidata.org/entity/Q12800682</v>
      </c>
      <c r="J105" s="3" t="s">
        <v>712</v>
      </c>
      <c r="K105" s="2" t="str">
        <f aca="false">CONCATENATE("https://d-nb.info/gnd/",J105)</f>
        <v>https://d-nb.info/gnd/4179251-8</v>
      </c>
      <c r="L105" s="3" t="s">
        <v>713</v>
      </c>
      <c r="M105" s="2" t="str">
        <f aca="false">CONCATENATE("https://d-nb.info/gnd/",L105)</f>
        <v>https://d-nb.info/gnd/4688165-7</v>
      </c>
      <c r="N105" s="3"/>
      <c r="P105" s="3"/>
      <c r="R105" s="2" t="s">
        <v>714</v>
      </c>
      <c r="S105" s="2" t="s">
        <v>715</v>
      </c>
      <c r="X105" s="2" t="n">
        <v>0</v>
      </c>
      <c r="Y105" s="2" t="n">
        <v>1</v>
      </c>
      <c r="AG105" s="4"/>
    </row>
    <row r="106" s="2" customFormat="true" ht="12.8" hidden="false" customHeight="false" outlineLevel="0" collapsed="false">
      <c r="A106" s="1" t="s">
        <v>716</v>
      </c>
      <c r="B106" s="2" t="n">
        <v>93</v>
      </c>
      <c r="C106" s="2" t="n">
        <v>92</v>
      </c>
      <c r="D106" s="2" t="s">
        <v>717</v>
      </c>
      <c r="E106" s="2" t="s">
        <v>718</v>
      </c>
      <c r="F106" s="2" t="s">
        <v>719</v>
      </c>
      <c r="H106" s="3" t="s">
        <v>720</v>
      </c>
      <c r="I106" s="2" t="str">
        <f aca="false">CONCATENATE("http://www.wikidata.org/entity/",H106)</f>
        <v>http://www.wikidata.org/entity/Q123095690</v>
      </c>
      <c r="J106" s="3"/>
      <c r="L106" s="3"/>
      <c r="N106" s="3"/>
      <c r="P106" s="3"/>
      <c r="R106" s="2" t="s">
        <v>721</v>
      </c>
      <c r="S106" s="2" t="s">
        <v>722</v>
      </c>
      <c r="X106" s="2" t="n">
        <v>0</v>
      </c>
      <c r="Y106" s="2" t="n">
        <v>1</v>
      </c>
      <c r="AG106" s="4"/>
    </row>
    <row r="107" s="2" customFormat="true" ht="12.8" hidden="false" customHeight="false" outlineLevel="0" collapsed="false">
      <c r="A107" s="1" t="s">
        <v>723</v>
      </c>
      <c r="B107" s="2" t="n">
        <v>94</v>
      </c>
      <c r="C107" s="2" t="n">
        <v>92</v>
      </c>
      <c r="D107" s="2" t="s">
        <v>724</v>
      </c>
      <c r="E107" s="2" t="s">
        <v>725</v>
      </c>
      <c r="F107" s="2" t="s">
        <v>726</v>
      </c>
      <c r="H107" s="3" t="s">
        <v>727</v>
      </c>
      <c r="I107" s="2" t="str">
        <f aca="false">CONCATENATE("http://www.wikidata.org/entity/",H107)</f>
        <v>http://www.wikidata.org/entity/Q21504965</v>
      </c>
      <c r="J107" s="3"/>
      <c r="L107" s="3"/>
      <c r="N107" s="3"/>
      <c r="P107" s="3"/>
      <c r="R107" s="2" t="s">
        <v>728</v>
      </c>
      <c r="S107" s="2" t="s">
        <v>729</v>
      </c>
      <c r="X107" s="2" t="n">
        <v>0</v>
      </c>
      <c r="Y107" s="2" t="n">
        <v>1</v>
      </c>
      <c r="AG107" s="4"/>
    </row>
    <row r="108" s="2" customFormat="true" ht="12.8" hidden="false" customHeight="false" outlineLevel="0" collapsed="false">
      <c r="A108" s="1" t="s">
        <v>730</v>
      </c>
      <c r="B108" s="2" t="n">
        <v>95</v>
      </c>
      <c r="C108" s="2" t="n">
        <v>92</v>
      </c>
      <c r="D108" s="2" t="s">
        <v>731</v>
      </c>
      <c r="E108" s="2" t="s">
        <v>732</v>
      </c>
      <c r="F108" s="2" t="s">
        <v>733</v>
      </c>
      <c r="H108" s="3" t="s">
        <v>734</v>
      </c>
      <c r="I108" s="2" t="str">
        <f aca="false">CONCATENATE("http://www.wikidata.org/entity/",H108)</f>
        <v>http://www.wikidata.org/entity/Q123095868</v>
      </c>
      <c r="J108" s="3"/>
      <c r="L108" s="3"/>
      <c r="N108" s="3"/>
      <c r="P108" s="3"/>
      <c r="R108" s="2" t="s">
        <v>735</v>
      </c>
      <c r="S108" s="2" t="s">
        <v>736</v>
      </c>
      <c r="X108" s="2" t="n">
        <v>0</v>
      </c>
      <c r="Y108" s="2" t="n">
        <v>1</v>
      </c>
      <c r="AG108" s="4"/>
    </row>
    <row r="109" s="2" customFormat="true" ht="12.8" hidden="false" customHeight="false" outlineLevel="0" collapsed="false">
      <c r="A109" s="1" t="s">
        <v>737</v>
      </c>
      <c r="B109" s="2" t="n">
        <v>96</v>
      </c>
      <c r="C109" s="2" t="n">
        <v>92</v>
      </c>
      <c r="D109" s="2" t="s">
        <v>738</v>
      </c>
      <c r="E109" s="2" t="s">
        <v>739</v>
      </c>
      <c r="F109" s="2" t="s">
        <v>740</v>
      </c>
      <c r="H109" s="3" t="s">
        <v>741</v>
      </c>
      <c r="I109" s="2" t="str">
        <f aca="false">CONCATENATE("http://www.wikidata.org/entity/",H109)</f>
        <v>http://www.wikidata.org/entity/Q123096026</v>
      </c>
      <c r="J109" s="3"/>
      <c r="L109" s="3"/>
      <c r="N109" s="3"/>
      <c r="P109" s="3"/>
      <c r="R109" s="2" t="s">
        <v>742</v>
      </c>
      <c r="S109" s="2" t="s">
        <v>743</v>
      </c>
      <c r="X109" s="2" t="n">
        <v>0</v>
      </c>
      <c r="Y109" s="2" t="n">
        <v>1</v>
      </c>
      <c r="AG109" s="4"/>
    </row>
    <row r="110" s="2" customFormat="true" ht="12.8" hidden="false" customHeight="false" outlineLevel="0" collapsed="false">
      <c r="A110" s="1" t="s">
        <v>744</v>
      </c>
      <c r="B110" s="2" t="n">
        <v>97</v>
      </c>
      <c r="C110" s="2" t="n">
        <v>92</v>
      </c>
      <c r="D110" s="2" t="s">
        <v>745</v>
      </c>
      <c r="E110" s="2" t="s">
        <v>746</v>
      </c>
      <c r="F110" s="2" t="s">
        <v>747</v>
      </c>
      <c r="H110" s="3" t="s">
        <v>748</v>
      </c>
      <c r="I110" s="2" t="str">
        <f aca="false">CONCATENATE("http://www.wikidata.org/entity/",H110)</f>
        <v>http://www.wikidata.org/entity/Q123095821</v>
      </c>
      <c r="J110" s="3"/>
      <c r="L110" s="3"/>
      <c r="N110" s="3"/>
      <c r="P110" s="3"/>
      <c r="R110" s="2" t="s">
        <v>749</v>
      </c>
      <c r="S110" s="2" t="s">
        <v>750</v>
      </c>
      <c r="X110" s="2" t="n">
        <v>0</v>
      </c>
      <c r="Y110" s="2" t="n">
        <v>1</v>
      </c>
      <c r="AG110" s="4"/>
    </row>
    <row r="111" s="2" customFormat="true" ht="12.8" hidden="false" customHeight="false" outlineLevel="0" collapsed="false">
      <c r="A111" s="1" t="s">
        <v>751</v>
      </c>
      <c r="B111" s="2" t="n">
        <v>98</v>
      </c>
      <c r="C111" s="2" t="n">
        <v>92</v>
      </c>
      <c r="D111" s="2" t="s">
        <v>752</v>
      </c>
      <c r="E111" s="2" t="s">
        <v>753</v>
      </c>
      <c r="F111" s="2" t="s">
        <v>754</v>
      </c>
      <c r="H111" s="3" t="s">
        <v>755</v>
      </c>
      <c r="I111" s="2" t="str">
        <f aca="false">CONCATENATE("http://www.wikidata.org/entity/",H111)</f>
        <v>http://www.wikidata.org/entity/Q21504960</v>
      </c>
      <c r="J111" s="3"/>
      <c r="L111" s="3"/>
      <c r="N111" s="3"/>
      <c r="P111" s="3"/>
      <c r="R111" s="2" t="s">
        <v>756</v>
      </c>
      <c r="S111" s="2" t="s">
        <v>757</v>
      </c>
      <c r="X111" s="2" t="n">
        <v>0</v>
      </c>
      <c r="Y111" s="2" t="n">
        <v>1</v>
      </c>
      <c r="AG111" s="4"/>
    </row>
    <row r="112" s="2" customFormat="true" ht="12.8" hidden="false" customHeight="false" outlineLevel="0" collapsed="false">
      <c r="A112" s="1" t="s">
        <v>758</v>
      </c>
      <c r="B112" s="2" t="n">
        <v>99</v>
      </c>
      <c r="D112" s="2" t="s">
        <v>759</v>
      </c>
      <c r="F112" s="2" t="s">
        <v>760</v>
      </c>
      <c r="G112" s="2" t="s">
        <v>761</v>
      </c>
      <c r="H112" s="3" t="s">
        <v>762</v>
      </c>
      <c r="I112" s="2" t="str">
        <f aca="false">CONCATENATE("http://www.wikidata.org/entity/",H112)</f>
        <v>http://www.wikidata.org/entity/Q943995</v>
      </c>
      <c r="J112" s="3"/>
      <c r="L112" s="3"/>
      <c r="N112" s="3"/>
      <c r="P112" s="3"/>
      <c r="R112" s="2" t="s">
        <v>759</v>
      </c>
      <c r="S112" s="2" t="s">
        <v>760</v>
      </c>
      <c r="X112" s="2" t="n">
        <v>0</v>
      </c>
      <c r="Y112" s="2" t="n">
        <v>0</v>
      </c>
      <c r="AG112" s="4"/>
    </row>
    <row r="113" s="2" customFormat="true" ht="12.8" hidden="false" customHeight="false" outlineLevel="0" collapsed="false">
      <c r="A113" s="1" t="s">
        <v>763</v>
      </c>
      <c r="B113" s="2" t="n">
        <v>100</v>
      </c>
      <c r="D113" s="2" t="s">
        <v>764</v>
      </c>
      <c r="E113" s="2" t="s">
        <v>765</v>
      </c>
      <c r="F113" s="2" t="s">
        <v>766</v>
      </c>
      <c r="H113" s="3" t="s">
        <v>767</v>
      </c>
      <c r="I113" s="2" t="str">
        <f aca="false">CONCATENATE("http://www.wikidata.org/entity/",H113)</f>
        <v>http://www.wikidata.org/entity/Q81096</v>
      </c>
      <c r="J113" s="3" t="s">
        <v>768</v>
      </c>
      <c r="K113" s="2" t="str">
        <f aca="false">CONCATENATE("https://d-nb.info/gnd/",J113)</f>
        <v>https://d-nb.info/gnd/4026955-3</v>
      </c>
      <c r="L113" s="3" t="s">
        <v>769</v>
      </c>
      <c r="M113" s="2" t="str">
        <f aca="false">CONCATENATE("https://d-nb.info/gnd/",L113)</f>
        <v>https://d-nb.info/gnd/4192847-7</v>
      </c>
      <c r="N113" s="3"/>
      <c r="P113" s="3" t="n">
        <v>300025063</v>
      </c>
      <c r="Q113" s="2" t="str">
        <f aca="false">CONCATENATE("https://vocab.getty.edu/aat/",P113)</f>
        <v>https://vocab.getty.edu/aat/300025063</v>
      </c>
      <c r="R113" s="2" t="s">
        <v>764</v>
      </c>
      <c r="S113" s="2" t="s">
        <v>766</v>
      </c>
      <c r="X113" s="2" t="n">
        <v>0</v>
      </c>
      <c r="Y113" s="2" t="n">
        <v>0</v>
      </c>
      <c r="AG113" s="4"/>
    </row>
    <row r="114" s="2" customFormat="true" ht="12.8" hidden="false" customHeight="false" outlineLevel="0" collapsed="false">
      <c r="A114" s="1" t="s">
        <v>770</v>
      </c>
      <c r="B114" s="2" t="n">
        <v>101</v>
      </c>
      <c r="C114" s="2" t="n">
        <v>100</v>
      </c>
      <c r="D114" s="2" t="s">
        <v>771</v>
      </c>
      <c r="E114" s="2" t="s">
        <v>772</v>
      </c>
      <c r="F114" s="2" t="s">
        <v>773</v>
      </c>
      <c r="G114" s="2" t="s">
        <v>774</v>
      </c>
      <c r="H114" s="3" t="s">
        <v>775</v>
      </c>
      <c r="I114" s="2" t="str">
        <f aca="false">CONCATENATE("http://www.wikidata.org/entity/",H114)</f>
        <v>http://www.wikidata.org/entity/Q1326886</v>
      </c>
      <c r="J114" s="3" t="s">
        <v>776</v>
      </c>
      <c r="K114" s="2" t="str">
        <f aca="false">CONCATENATE("https://d-nb.info/gnd/",J114)</f>
        <v>https://d-nb.info/gnd/4151815-9</v>
      </c>
      <c r="L114" s="3" t="s">
        <v>777</v>
      </c>
      <c r="M114" s="2" t="str">
        <f aca="false">CONCATENATE("https://d-nb.info/gnd/",L114)</f>
        <v>https://d-nb.info/gnd/7627832-3</v>
      </c>
      <c r="N114" s="3"/>
      <c r="P114" s="3" t="n">
        <v>300025079</v>
      </c>
      <c r="Q114" s="2" t="str">
        <f aca="false">CONCATENATE("https://vocab.getty.edu/aat/",P114)</f>
        <v>https://vocab.getty.edu/aat/300025079</v>
      </c>
      <c r="R114" s="2" t="s">
        <v>778</v>
      </c>
      <c r="S114" s="2" t="s">
        <v>779</v>
      </c>
      <c r="X114" s="2" t="n">
        <v>0</v>
      </c>
      <c r="Y114" s="2" t="n">
        <v>0</v>
      </c>
      <c r="AG114" s="4"/>
    </row>
    <row r="115" s="2" customFormat="true" ht="12.8" hidden="false" customHeight="false" outlineLevel="0" collapsed="false">
      <c r="A115" s="1" t="s">
        <v>780</v>
      </c>
      <c r="B115" s="2" t="n">
        <v>102</v>
      </c>
      <c r="D115" s="2" t="s">
        <v>781</v>
      </c>
      <c r="E115" s="2" t="s">
        <v>782</v>
      </c>
      <c r="F115" s="2" t="s">
        <v>783</v>
      </c>
      <c r="H115" s="3" t="s">
        <v>784</v>
      </c>
      <c r="I115" s="2" t="str">
        <f aca="false">CONCATENATE("http://www.wikidata.org/entity/",H115)</f>
        <v>http://www.wikidata.org/entity/Q1278335</v>
      </c>
      <c r="J115" s="3"/>
      <c r="L115" s="3"/>
      <c r="N115" s="3"/>
      <c r="P115" s="3" t="n">
        <v>300162131</v>
      </c>
      <c r="Q115" s="2" t="str">
        <f aca="false">CONCATENATE("https://vocab.getty.edu/aat/",P115)</f>
        <v>https://vocab.getty.edu/aat/300162131</v>
      </c>
      <c r="R115" s="2" t="s">
        <v>781</v>
      </c>
      <c r="S115" s="2" t="s">
        <v>783</v>
      </c>
      <c r="X115" s="2" t="n">
        <v>0</v>
      </c>
      <c r="Y115" s="2" t="n">
        <v>1</v>
      </c>
      <c r="AG115" s="4"/>
    </row>
    <row r="116" s="2" customFormat="true" ht="12.8" hidden="false" customHeight="false" outlineLevel="0" collapsed="false">
      <c r="A116" s="1" t="s">
        <v>785</v>
      </c>
      <c r="B116" s="2" t="n">
        <v>103</v>
      </c>
      <c r="D116" s="2" t="s">
        <v>786</v>
      </c>
      <c r="E116" s="2" t="s">
        <v>787</v>
      </c>
      <c r="F116" s="2" t="s">
        <v>788</v>
      </c>
      <c r="G116" s="2" t="s">
        <v>789</v>
      </c>
      <c r="H116" s="3" t="s">
        <v>790</v>
      </c>
      <c r="I116" s="2" t="str">
        <f aca="false">CONCATENATE("http://www.wikidata.org/entity/",H116)</f>
        <v>http://www.wikidata.org/entity/Q60687737</v>
      </c>
      <c r="J116" s="3"/>
      <c r="L116" s="3"/>
      <c r="N116" s="3"/>
      <c r="P116" s="3" t="n">
        <v>300386786</v>
      </c>
      <c r="Q116" s="2" t="str">
        <f aca="false">CONCATENATE("https://vocab.getty.edu/aat/",P116)</f>
        <v>https://vocab.getty.edu/aat/300386786</v>
      </c>
      <c r="R116" s="2" t="s">
        <v>786</v>
      </c>
      <c r="S116" s="2" t="s">
        <v>788</v>
      </c>
      <c r="X116" s="2" t="n">
        <v>0</v>
      </c>
      <c r="Y116" s="2" t="n">
        <v>0</v>
      </c>
      <c r="AG116" s="4"/>
    </row>
    <row r="117" s="2" customFormat="true" ht="12.8" hidden="false" customHeight="false" outlineLevel="0" collapsed="false">
      <c r="A117" s="1" t="s">
        <v>791</v>
      </c>
      <c r="B117" s="2" t="n">
        <v>104</v>
      </c>
      <c r="D117" s="2" t="s">
        <v>792</v>
      </c>
      <c r="E117" s="2" t="s">
        <v>793</v>
      </c>
      <c r="F117" s="2" t="s">
        <v>794</v>
      </c>
      <c r="G117" s="2" t="s">
        <v>795</v>
      </c>
      <c r="H117" s="3" t="s">
        <v>796</v>
      </c>
      <c r="I117" s="2" t="str">
        <f aca="false">CONCATENATE("http://www.wikidata.org/entity/",H117)</f>
        <v>http://www.wikidata.org/entity/Q713200</v>
      </c>
      <c r="J117" s="3" t="s">
        <v>797</v>
      </c>
      <c r="K117" s="2" t="str">
        <f aca="false">CONCATENATE("https://d-nb.info/gnd/",J117)</f>
        <v>https://d-nb.info/gnd/4162124-4</v>
      </c>
      <c r="L117" s="3" t="n">
        <v>1042343527</v>
      </c>
      <c r="M117" s="2" t="str">
        <f aca="false">CONCATENATE("https://d-nb.info/gnd/",L117)</f>
        <v>https://d-nb.info/gnd/1042343527</v>
      </c>
      <c r="N117" s="3"/>
      <c r="P117" s="3" t="n">
        <v>300068931</v>
      </c>
      <c r="Q117" s="2" t="str">
        <f aca="false">CONCATENATE("https://vocab.getty.edu/aat/",P117)</f>
        <v>https://vocab.getty.edu/aat/300068931</v>
      </c>
      <c r="R117" s="2" t="s">
        <v>792</v>
      </c>
      <c r="S117" s="2" t="s">
        <v>794</v>
      </c>
      <c r="X117" s="2" t="n">
        <v>0</v>
      </c>
      <c r="Y117" s="2" t="n">
        <v>1</v>
      </c>
      <c r="AG117" s="4"/>
    </row>
    <row r="118" s="2" customFormat="true" ht="12.8" hidden="false" customHeight="false" outlineLevel="0" collapsed="false">
      <c r="A118" s="1" t="s">
        <v>798</v>
      </c>
      <c r="B118" s="2" t="n">
        <v>105</v>
      </c>
      <c r="D118" s="2" t="s">
        <v>799</v>
      </c>
      <c r="E118" s="2" t="s">
        <v>800</v>
      </c>
      <c r="F118" s="2" t="s">
        <v>801</v>
      </c>
      <c r="H118" s="3" t="s">
        <v>802</v>
      </c>
      <c r="I118" s="2" t="str">
        <f aca="false">CONCATENATE("http://www.wikidata.org/entity/",H118)</f>
        <v>http://www.wikidata.org/entity/Q1930187</v>
      </c>
      <c r="J118" s="3" t="s">
        <v>803</v>
      </c>
      <c r="K118" s="2" t="str">
        <f aca="false">CONCATENATE("https://d-nb.info/gnd/",J118)</f>
        <v>https://d-nb.info/gnd/4028781-6</v>
      </c>
      <c r="L118" s="3" t="s">
        <v>804</v>
      </c>
      <c r="M118" s="2" t="str">
        <f aca="false">CONCATENATE("https://d-nb.info/gnd/",L118)</f>
        <v>https://d-nb.info/gnd/4028786-5</v>
      </c>
      <c r="N118" s="3"/>
      <c r="P118" s="3" t="n">
        <v>300025501</v>
      </c>
      <c r="Q118" s="2" t="str">
        <f aca="false">CONCATENATE("https://vocab.getty.edu/aat/",P118)</f>
        <v>https://vocab.getty.edu/aat/300025501</v>
      </c>
      <c r="R118" s="2" t="s">
        <v>799</v>
      </c>
      <c r="S118" s="2" t="s">
        <v>801</v>
      </c>
      <c r="X118" s="2" t="n">
        <v>0</v>
      </c>
      <c r="Y118" s="2" t="n">
        <v>0</v>
      </c>
      <c r="AG118" s="4"/>
    </row>
    <row r="119" s="2" customFormat="true" ht="12.8" hidden="false" customHeight="false" outlineLevel="0" collapsed="false">
      <c r="A119" s="1" t="s">
        <v>805</v>
      </c>
      <c r="B119" s="2" t="n">
        <v>106</v>
      </c>
      <c r="C119" s="2" t="n">
        <v>105</v>
      </c>
      <c r="D119" s="2" t="s">
        <v>806</v>
      </c>
      <c r="E119" s="2" t="s">
        <v>807</v>
      </c>
      <c r="F119" s="2" t="s">
        <v>808</v>
      </c>
      <c r="G119" s="2" t="s">
        <v>809</v>
      </c>
      <c r="H119" s="3" t="s">
        <v>810</v>
      </c>
      <c r="I119" s="2" t="str">
        <f aca="false">CONCATENATE("http://www.wikidata.org/entity/",H119)</f>
        <v>http://www.wikidata.org/entity/Q34037376</v>
      </c>
      <c r="J119" s="3"/>
      <c r="L119" s="3"/>
      <c r="N119" s="3"/>
      <c r="P119" s="3"/>
      <c r="R119" s="2" t="s">
        <v>811</v>
      </c>
      <c r="S119" s="2" t="s">
        <v>812</v>
      </c>
      <c r="X119" s="2" t="n">
        <v>0</v>
      </c>
      <c r="Y119" s="2" t="n">
        <v>0</v>
      </c>
      <c r="AG119" s="4"/>
    </row>
    <row r="120" s="2" customFormat="true" ht="12.8" hidden="false" customHeight="false" outlineLevel="0" collapsed="false">
      <c r="A120" s="1" t="s">
        <v>813</v>
      </c>
      <c r="B120" s="2" t="n">
        <v>107</v>
      </c>
      <c r="C120" s="2" t="n">
        <v>105</v>
      </c>
      <c r="D120" s="2" t="s">
        <v>814</v>
      </c>
      <c r="E120" s="2" t="s">
        <v>815</v>
      </c>
      <c r="F120" s="2" t="s">
        <v>816</v>
      </c>
      <c r="H120" s="3" t="s">
        <v>817</v>
      </c>
      <c r="I120" s="2" t="str">
        <f aca="false">CONCATENATE("http://www.wikidata.org/entity/",H120)</f>
        <v>http://www.wikidata.org/entity/Q6430706</v>
      </c>
      <c r="J120" s="3" t="s">
        <v>818</v>
      </c>
      <c r="K120" s="2" t="str">
        <f aca="false">CONCATENATE("https://d-nb.info/gnd/",J120)</f>
        <v>https://d-nb.info/gnd/4165775-5</v>
      </c>
      <c r="L120" s="3" t="s">
        <v>819</v>
      </c>
      <c r="M120" s="2" t="str">
        <f aca="false">CONCATENATE("https://d-nb.info/gnd/",L120)</f>
        <v>https://d-nb.info/gnd/7539326-8</v>
      </c>
      <c r="N120" s="3"/>
      <c r="P120" s="3" t="n">
        <v>300025519</v>
      </c>
      <c r="Q120" s="2" t="str">
        <f aca="false">CONCATENATE("https://vocab.getty.edu/aat/",P120)</f>
        <v>https://vocab.getty.edu/aat/300025519</v>
      </c>
      <c r="R120" s="2" t="s">
        <v>820</v>
      </c>
      <c r="S120" s="2" t="s">
        <v>821</v>
      </c>
      <c r="X120" s="2" t="n">
        <v>0</v>
      </c>
      <c r="Y120" s="2" t="n">
        <v>0</v>
      </c>
      <c r="AG120" s="4"/>
    </row>
    <row r="121" s="2" customFormat="true" ht="12.8" hidden="false" customHeight="false" outlineLevel="0" collapsed="false">
      <c r="A121" s="1" t="s">
        <v>822</v>
      </c>
      <c r="B121" s="2" t="n">
        <v>108</v>
      </c>
      <c r="C121" s="2" t="n">
        <v>107</v>
      </c>
      <c r="D121" s="2" t="s">
        <v>823</v>
      </c>
      <c r="E121" s="2" t="s">
        <v>824</v>
      </c>
      <c r="F121" s="2" t="s">
        <v>825</v>
      </c>
      <c r="H121" s="3" t="s">
        <v>826</v>
      </c>
      <c r="I121" s="2" t="str">
        <f aca="false">CONCATENATE("http://www.wikidata.org/entity/",H121)</f>
        <v>http://www.wikidata.org/entity/Q4263842</v>
      </c>
      <c r="J121" s="3" t="s">
        <v>827</v>
      </c>
      <c r="K121" s="2" t="str">
        <f aca="false">CONCATENATE("https://d-nb.info/gnd/",J121)</f>
        <v>https://d-nb.info/gnd/4167874-6</v>
      </c>
      <c r="L121" s="3" t="s">
        <v>828</v>
      </c>
      <c r="M121" s="2" t="str">
        <f aca="false">CONCATENATE("https://d-nb.info/gnd/",L121)</f>
        <v>https://d-nb.info/gnd/4167875-8</v>
      </c>
      <c r="N121" s="3"/>
      <c r="P121" s="3" t="n">
        <v>300025522</v>
      </c>
      <c r="Q121" s="2" t="str">
        <f aca="false">CONCATENATE("https://vocab.getty.edu/aat/",P121)</f>
        <v>https://vocab.getty.edu/aat/300025522</v>
      </c>
      <c r="R121" s="2" t="s">
        <v>829</v>
      </c>
      <c r="S121" s="2" t="s">
        <v>830</v>
      </c>
      <c r="X121" s="2" t="n">
        <v>0</v>
      </c>
      <c r="Y121" s="2" t="n">
        <v>0</v>
      </c>
      <c r="AG121" s="4"/>
    </row>
    <row r="122" s="2" customFormat="true" ht="12.8" hidden="false" customHeight="false" outlineLevel="0" collapsed="false">
      <c r="A122" s="1" t="s">
        <v>831</v>
      </c>
      <c r="B122" s="2" t="n">
        <v>109</v>
      </c>
      <c r="C122" s="2" t="n">
        <v>107</v>
      </c>
      <c r="D122" s="2" t="s">
        <v>832</v>
      </c>
      <c r="E122" s="2" t="s">
        <v>833</v>
      </c>
      <c r="F122" s="2" t="s">
        <v>834</v>
      </c>
      <c r="H122" s="3" t="s">
        <v>835</v>
      </c>
      <c r="I122" s="2" t="str">
        <f aca="false">CONCATENATE("http://www.wikidata.org/entity/",H122)</f>
        <v>http://www.wikidata.org/entity/Q1350157</v>
      </c>
      <c r="J122" s="3" t="s">
        <v>836</v>
      </c>
      <c r="K122" s="2" t="str">
        <f aca="false">CONCATENATE("https://d-nb.info/gnd/",J122)</f>
        <v>https://d-nb.info/gnd/4120774-9</v>
      </c>
      <c r="L122" s="3" t="s">
        <v>837</v>
      </c>
      <c r="M122" s="2" t="str">
        <f aca="false">CONCATENATE("https://d-nb.info/gnd/",L122)</f>
        <v>https://d-nb.info/gnd/7540312-2</v>
      </c>
      <c r="N122" s="3"/>
      <c r="P122" s="3" t="n">
        <v>300386248</v>
      </c>
      <c r="Q122" s="2" t="str">
        <f aca="false">CONCATENATE("https://vocab.getty.edu/aat/",P122)</f>
        <v>https://vocab.getty.edu/aat/300386248</v>
      </c>
      <c r="R122" s="2" t="s">
        <v>838</v>
      </c>
      <c r="S122" s="2" t="s">
        <v>839</v>
      </c>
      <c r="X122" s="2" t="n">
        <v>0</v>
      </c>
      <c r="Y122" s="2" t="n">
        <v>0</v>
      </c>
      <c r="AG122" s="4"/>
    </row>
    <row r="123" s="2" customFormat="true" ht="12.8" hidden="false" customHeight="false" outlineLevel="0" collapsed="false">
      <c r="A123" s="1" t="s">
        <v>840</v>
      </c>
      <c r="B123" s="2" t="n">
        <v>110</v>
      </c>
      <c r="C123" s="2" t="n">
        <v>105</v>
      </c>
      <c r="D123" s="2" t="s">
        <v>841</v>
      </c>
      <c r="E123" s="2" t="s">
        <v>842</v>
      </c>
      <c r="F123" s="2" t="s">
        <v>843</v>
      </c>
      <c r="H123" s="3" t="s">
        <v>844</v>
      </c>
      <c r="I123" s="2" t="str">
        <f aca="false">CONCATENATE("http://www.wikidata.org/entity/",H123)</f>
        <v>http://www.wikidata.org/entity/Q20669622</v>
      </c>
      <c r="J123" s="3" t="s">
        <v>845</v>
      </c>
      <c r="K123" s="2" t="str">
        <f aca="false">CONCATENATE("https://d-nb.info/gnd/",J123)</f>
        <v>https://d-nb.info/gnd/7628915-1</v>
      </c>
      <c r="L123" s="3" t="s">
        <v>846</v>
      </c>
      <c r="M123" s="2" t="str">
        <f aca="false">CONCATENATE("https://d-nb.info/gnd/",L123)</f>
        <v>https://d-nb.info/gnd/7628916-3</v>
      </c>
      <c r="N123" s="3"/>
      <c r="P123" s="3"/>
      <c r="R123" s="2" t="s">
        <v>847</v>
      </c>
      <c r="S123" s="2" t="s">
        <v>848</v>
      </c>
      <c r="X123" s="2" t="n">
        <v>0</v>
      </c>
      <c r="Y123" s="2" t="n">
        <v>0</v>
      </c>
      <c r="AG123" s="4"/>
    </row>
    <row r="124" s="2" customFormat="true" ht="12.8" hidden="false" customHeight="false" outlineLevel="0" collapsed="false">
      <c r="A124" s="1" t="s">
        <v>849</v>
      </c>
      <c r="B124" s="2" t="n">
        <v>111</v>
      </c>
      <c r="D124" s="2" t="s">
        <v>850</v>
      </c>
      <c r="E124" s="2" t="s">
        <v>851</v>
      </c>
      <c r="F124" s="2" t="s">
        <v>852</v>
      </c>
      <c r="G124" s="2" t="s">
        <v>853</v>
      </c>
      <c r="H124" s="3" t="s">
        <v>854</v>
      </c>
      <c r="I124" s="2" t="str">
        <f aca="false">CONCATENATE("http://www.wikidata.org/entity/",H124)</f>
        <v>http://www.wikidata.org/entity/Q15214752</v>
      </c>
      <c r="J124" s="3" t="s">
        <v>855</v>
      </c>
      <c r="K124" s="2" t="str">
        <f aca="false">CONCATENATE("https://d-nb.info/gnd/",J124)</f>
        <v>https://d-nb.info/gnd/4123477-7</v>
      </c>
      <c r="L124" s="3" t="s">
        <v>856</v>
      </c>
      <c r="M124" s="2" t="str">
        <f aca="false">CONCATENATE("https://d-nb.info/gnd/",L124)</f>
        <v>https://d-nb.info/gnd/4707009-2</v>
      </c>
      <c r="N124" s="3"/>
      <c r="P124" s="3"/>
      <c r="R124" s="2" t="s">
        <v>850</v>
      </c>
      <c r="S124" s="2" t="s">
        <v>852</v>
      </c>
      <c r="X124" s="2" t="n">
        <v>0</v>
      </c>
      <c r="Y124" s="2" t="n">
        <v>1</v>
      </c>
      <c r="AG124" s="4"/>
    </row>
    <row r="125" s="2" customFormat="true" ht="12.8" hidden="false" customHeight="false" outlineLevel="0" collapsed="false">
      <c r="A125" s="1" t="s">
        <v>857</v>
      </c>
      <c r="B125" s="2" t="n">
        <v>112</v>
      </c>
      <c r="D125" s="2" t="s">
        <v>858</v>
      </c>
      <c r="E125" s="2" t="s">
        <v>859</v>
      </c>
      <c r="F125" s="2" t="s">
        <v>247</v>
      </c>
      <c r="G125" s="2" t="s">
        <v>860</v>
      </c>
      <c r="H125" s="3" t="s">
        <v>249</v>
      </c>
      <c r="I125" s="2" t="str">
        <f aca="false">CONCATENATE("http://www.wikidata.org/entity/",H125)</f>
        <v>http://www.wikidata.org/entity/Q222344</v>
      </c>
      <c r="J125" s="3" t="s">
        <v>250</v>
      </c>
      <c r="K125" s="2" t="str">
        <f aca="false">CONCATENATE("https://d-nb.info/gnd/",J125)</f>
        <v>https://d-nb.info/gnd/4029412-2</v>
      </c>
      <c r="L125" s="3" t="s">
        <v>251</v>
      </c>
      <c r="M125" s="2" t="str">
        <f aca="false">CONCATENATE("https://d-nb.info/gnd/",L125)</f>
        <v>https://d-nb.info/gnd/4493238-8</v>
      </c>
      <c r="N125" s="3"/>
      <c r="P125" s="3" t="n">
        <v>300025650</v>
      </c>
      <c r="Q125" s="2" t="str">
        <f aca="false">CONCATENATE("https://vocab.getty.edu/aat/",P125)</f>
        <v>https://vocab.getty.edu/aat/300025650</v>
      </c>
      <c r="R125" s="2" t="s">
        <v>858</v>
      </c>
      <c r="S125" s="2" t="s">
        <v>247</v>
      </c>
      <c r="X125" s="2" t="n">
        <v>0</v>
      </c>
      <c r="Y125" s="2" t="n">
        <v>0</v>
      </c>
      <c r="AG125" s="4"/>
    </row>
    <row r="126" s="2" customFormat="true" ht="12.8" hidden="false" customHeight="false" outlineLevel="0" collapsed="false">
      <c r="A126" s="1" t="s">
        <v>861</v>
      </c>
      <c r="B126" s="2" t="n">
        <v>113</v>
      </c>
      <c r="D126" s="2" t="s">
        <v>862</v>
      </c>
      <c r="E126" s="2" t="s">
        <v>863</v>
      </c>
      <c r="F126" s="2" t="s">
        <v>864</v>
      </c>
      <c r="H126" s="3" t="s">
        <v>865</v>
      </c>
      <c r="I126" s="2" t="str">
        <f aca="false">CONCATENATE("http://www.wikidata.org/entity/",H126)</f>
        <v>http://www.wikidata.org/entity/Q3029404</v>
      </c>
      <c r="J126" s="3"/>
      <c r="L126" s="3"/>
      <c r="N126" s="3"/>
      <c r="P126" s="3"/>
      <c r="R126" s="2" t="s">
        <v>862</v>
      </c>
      <c r="S126" s="2" t="s">
        <v>864</v>
      </c>
      <c r="X126" s="2" t="n">
        <v>0</v>
      </c>
      <c r="Y126" s="2" t="n">
        <v>0</v>
      </c>
      <c r="AG126" s="4"/>
    </row>
    <row r="127" s="2" customFormat="true" ht="12.8" hidden="false" customHeight="false" outlineLevel="0" collapsed="false">
      <c r="A127" s="1" t="s">
        <v>866</v>
      </c>
      <c r="B127" s="2" t="n">
        <v>114</v>
      </c>
      <c r="D127" s="2" t="s">
        <v>867</v>
      </c>
      <c r="E127" s="2" t="s">
        <v>868</v>
      </c>
      <c r="F127" s="2" t="s">
        <v>869</v>
      </c>
      <c r="H127" s="3" t="s">
        <v>870</v>
      </c>
      <c r="I127" s="2" t="str">
        <f aca="false">CONCATENATE("http://www.wikidata.org/entity/",H127)</f>
        <v>http://www.wikidata.org/entity/Q1141470</v>
      </c>
      <c r="J127" s="3"/>
      <c r="L127" s="3"/>
      <c r="N127" s="3"/>
      <c r="P127" s="3"/>
      <c r="R127" s="2" t="s">
        <v>867</v>
      </c>
      <c r="S127" s="2" t="s">
        <v>869</v>
      </c>
      <c r="X127" s="2" t="n">
        <v>0</v>
      </c>
      <c r="Y127" s="2" t="n">
        <v>0</v>
      </c>
      <c r="AG127" s="4"/>
    </row>
    <row r="128" s="2" customFormat="true" ht="12.8" hidden="false" customHeight="false" outlineLevel="0" collapsed="false">
      <c r="A128" s="1" t="s">
        <v>871</v>
      </c>
      <c r="B128" s="2" t="n">
        <v>115</v>
      </c>
      <c r="D128" s="2" t="s">
        <v>872</v>
      </c>
      <c r="E128" s="2" t="s">
        <v>873</v>
      </c>
      <c r="F128" s="2" t="s">
        <v>874</v>
      </c>
      <c r="H128" s="3" t="s">
        <v>875</v>
      </c>
      <c r="I128" s="2" t="str">
        <f aca="false">CONCATENATE("http://www.wikidata.org/entity/",H128)</f>
        <v>http://www.wikidata.org/entity/Q36834</v>
      </c>
      <c r="J128" s="3" t="s">
        <v>876</v>
      </c>
      <c r="K128" s="2" t="str">
        <f aca="false">CONCATENATE("https://d-nb.info/gnd/",J128)</f>
        <v>https://d-nb.info/gnd/4032009-1</v>
      </c>
      <c r="L128" s="3" t="s">
        <v>877</v>
      </c>
      <c r="M128" s="2" t="str">
        <f aca="false">CONCATENATE("https://d-nb.info/gnd/",L128)</f>
        <v>https://d-nb.info/gnd/4032010-8</v>
      </c>
      <c r="N128" s="3"/>
      <c r="P128" s="3" t="n">
        <v>300025671</v>
      </c>
      <c r="Q128" s="2" t="str">
        <f aca="false">CONCATENATE("https://vocab.getty.edu/aat/",P128)</f>
        <v>https://vocab.getty.edu/aat/300025671</v>
      </c>
      <c r="R128" s="2" t="s">
        <v>872</v>
      </c>
      <c r="S128" s="2" t="s">
        <v>874</v>
      </c>
      <c r="X128" s="2" t="n">
        <v>1</v>
      </c>
      <c r="Y128" s="2" t="n">
        <v>0</v>
      </c>
      <c r="AG128" s="4"/>
    </row>
    <row r="129" s="2" customFormat="true" ht="12.8" hidden="false" customHeight="false" outlineLevel="0" collapsed="false">
      <c r="A129" s="1" t="s">
        <v>878</v>
      </c>
      <c r="B129" s="2" t="n">
        <v>116</v>
      </c>
      <c r="D129" s="2" t="s">
        <v>879</v>
      </c>
      <c r="E129" s="2" t="s">
        <v>880</v>
      </c>
      <c r="F129" s="2" t="s">
        <v>881</v>
      </c>
      <c r="H129" s="3" t="s">
        <v>882</v>
      </c>
      <c r="I129" s="2" t="str">
        <f aca="false">CONCATENATE("http://www.wikidata.org/entity/",H129)</f>
        <v>http://www.wikidata.org/entity/Q11999333</v>
      </c>
      <c r="J129" s="3"/>
      <c r="L129" s="3"/>
      <c r="N129" s="3"/>
      <c r="P129" s="3"/>
      <c r="R129" s="2" t="s">
        <v>879</v>
      </c>
      <c r="S129" s="2" t="s">
        <v>881</v>
      </c>
      <c r="X129" s="2" t="n">
        <v>0</v>
      </c>
      <c r="Y129" s="2" t="n">
        <v>1</v>
      </c>
      <c r="AG129" s="4"/>
    </row>
    <row r="130" s="2" customFormat="true" ht="12.8" hidden="false" customHeight="false" outlineLevel="0" collapsed="false">
      <c r="A130" s="1" t="s">
        <v>883</v>
      </c>
      <c r="B130" s="2" t="n">
        <v>117</v>
      </c>
      <c r="D130" s="2" t="s">
        <v>884</v>
      </c>
      <c r="E130" s="2" t="s">
        <v>885</v>
      </c>
      <c r="F130" s="2" t="s">
        <v>886</v>
      </c>
      <c r="H130" s="3" t="s">
        <v>887</v>
      </c>
      <c r="I130" s="2" t="str">
        <f aca="false">CONCATENATE("http://www.wikidata.org/entity/",H130)</f>
        <v>http://www.wikidata.org/entity/Q1323191</v>
      </c>
      <c r="J130" s="3" t="s">
        <v>888</v>
      </c>
      <c r="K130" s="2" t="str">
        <f aca="false">CONCATENATE("https://d-nb.info/gnd/",J130)</f>
        <v>https://d-nb.info/gnd/4122242-8</v>
      </c>
      <c r="L130" s="3" t="s">
        <v>889</v>
      </c>
      <c r="M130" s="2" t="str">
        <f aca="false">CONCATENATE("https://d-nb.info/gnd/",L130)</f>
        <v>https://d-nb.info/gnd/4428817-7</v>
      </c>
      <c r="N130" s="3"/>
      <c r="P130" s="3" t="n">
        <v>300163428</v>
      </c>
      <c r="Q130" s="2" t="str">
        <f aca="false">CONCATENATE("https://vocab.getty.edu/aat/",P130)</f>
        <v>https://vocab.getty.edu/aat/300163428</v>
      </c>
      <c r="R130" s="2" t="s">
        <v>884</v>
      </c>
      <c r="S130" s="2" t="s">
        <v>886</v>
      </c>
      <c r="X130" s="2" t="n">
        <v>0</v>
      </c>
      <c r="Y130" s="2" t="n">
        <v>0</v>
      </c>
      <c r="AG130" s="4"/>
    </row>
    <row r="131" s="2" customFormat="true" ht="12.8" hidden="false" customHeight="false" outlineLevel="0" collapsed="false">
      <c r="A131" s="1" t="s">
        <v>890</v>
      </c>
      <c r="B131" s="2" t="n">
        <v>118</v>
      </c>
      <c r="D131" s="2" t="s">
        <v>891</v>
      </c>
      <c r="E131" s="2" t="s">
        <v>892</v>
      </c>
      <c r="F131" s="2" t="s">
        <v>893</v>
      </c>
      <c r="H131" s="3" t="s">
        <v>894</v>
      </c>
      <c r="I131" s="2" t="str">
        <f aca="false">CONCATENATE("http://www.wikidata.org/entity/",H131)</f>
        <v>http://www.wikidata.org/entity/Q21993562</v>
      </c>
      <c r="J131" s="3"/>
      <c r="L131" s="3"/>
      <c r="N131" s="3"/>
      <c r="P131" s="3"/>
      <c r="R131" s="2" t="s">
        <v>891</v>
      </c>
      <c r="S131" s="2" t="s">
        <v>893</v>
      </c>
      <c r="X131" s="2" t="n">
        <v>0</v>
      </c>
      <c r="Y131" s="2" t="n">
        <v>0</v>
      </c>
      <c r="AG131" s="4"/>
    </row>
    <row r="132" s="2" customFormat="true" ht="12.8" hidden="false" customHeight="false" outlineLevel="0" collapsed="false">
      <c r="A132" s="1" t="s">
        <v>895</v>
      </c>
      <c r="B132" s="2" t="n">
        <v>119</v>
      </c>
      <c r="D132" s="2" t="s">
        <v>896</v>
      </c>
      <c r="E132" s="2" t="s">
        <v>897</v>
      </c>
      <c r="F132" s="2" t="s">
        <v>898</v>
      </c>
      <c r="H132" s="3" t="s">
        <v>899</v>
      </c>
      <c r="I132" s="2" t="str">
        <f aca="false">CONCATENATE("http://www.wikidata.org/entity/",H132)</f>
        <v>http://www.wikidata.org/entity/Q483501</v>
      </c>
      <c r="J132" s="3" t="s">
        <v>900</v>
      </c>
      <c r="K132" s="2" t="str">
        <f aca="false">CONCATENATE("https://d-nb.info/gnd/",J132)</f>
        <v>https://d-nb.info/gnd/4033423-5</v>
      </c>
      <c r="L132" s="3" t="s">
        <v>901</v>
      </c>
      <c r="M132" s="2" t="str">
        <f aca="false">CONCATENATE("https://d-nb.info/gnd/",L132)</f>
        <v>https://d-nb.info/gnd/4033430-2</v>
      </c>
      <c r="N132" s="3"/>
      <c r="P132" s="3"/>
      <c r="R132" s="2" t="s">
        <v>896</v>
      </c>
      <c r="S132" s="2" t="s">
        <v>898</v>
      </c>
      <c r="X132" s="2" t="n">
        <v>1</v>
      </c>
      <c r="Y132" s="2" t="n">
        <v>0</v>
      </c>
      <c r="AG132" s="4"/>
    </row>
    <row r="133" s="2" customFormat="true" ht="12.8" hidden="false" customHeight="false" outlineLevel="0" collapsed="false">
      <c r="A133" s="1" t="s">
        <v>902</v>
      </c>
      <c r="B133" s="2" t="n">
        <v>120</v>
      </c>
      <c r="D133" s="2" t="s">
        <v>903</v>
      </c>
      <c r="E133" s="2" t="s">
        <v>904</v>
      </c>
      <c r="F133" s="2" t="s">
        <v>905</v>
      </c>
      <c r="H133" s="3" t="s">
        <v>906</v>
      </c>
      <c r="I133" s="2" t="str">
        <f aca="false">CONCATENATE("http://www.wikidata.org/entity/",H133)</f>
        <v>http://www.wikidata.org/entity/Q3658608</v>
      </c>
      <c r="J133" s="3" t="s">
        <v>907</v>
      </c>
      <c r="K133" s="2" t="str">
        <f aca="false">CONCATENATE("https://d-nb.info/gnd/",J133)</f>
        <v>https://d-nb.info/gnd/4232470-1</v>
      </c>
      <c r="L133" s="3" t="s">
        <v>908</v>
      </c>
      <c r="M133" s="2" t="str">
        <f aca="false">CONCATENATE("https://d-nb.info/gnd/",L133)</f>
        <v>https://d-nb.info/gnd/4315151-6</v>
      </c>
      <c r="N133" s="3"/>
      <c r="P133" s="3" t="n">
        <v>300025108</v>
      </c>
      <c r="Q133" s="2" t="str">
        <f aca="false">CONCATENATE("https://vocab.getty.edu/aat/",P133)</f>
        <v>https://vocab.getty.edu/aat/300025108</v>
      </c>
      <c r="R133" s="2" t="s">
        <v>909</v>
      </c>
      <c r="S133" s="2" t="s">
        <v>910</v>
      </c>
      <c r="X133" s="2" t="n">
        <v>1</v>
      </c>
      <c r="Y133" s="2" t="n">
        <v>0</v>
      </c>
      <c r="AG133" s="4"/>
    </row>
    <row r="134" s="2" customFormat="true" ht="12.8" hidden="false" customHeight="false" outlineLevel="0" collapsed="false">
      <c r="A134" s="1" t="s">
        <v>911</v>
      </c>
      <c r="B134" s="2" t="n">
        <v>121</v>
      </c>
      <c r="D134" s="2" t="s">
        <v>912</v>
      </c>
      <c r="E134" s="2" t="s">
        <v>913</v>
      </c>
      <c r="F134" s="2" t="s">
        <v>914</v>
      </c>
      <c r="H134" s="3" t="s">
        <v>915</v>
      </c>
      <c r="I134" s="2" t="str">
        <f aca="false">CONCATENATE("http://www.wikidata.org/entity/",H134)</f>
        <v>http://www.wikidata.org/entity/Q1028181</v>
      </c>
      <c r="J134" s="3" t="s">
        <v>916</v>
      </c>
      <c r="K134" s="2" t="str">
        <f aca="false">CONCATENATE("https://d-nb.info/gnd/",J134)</f>
        <v>https://d-nb.info/gnd/4037215-7</v>
      </c>
      <c r="L134" s="3" t="s">
        <v>917</v>
      </c>
      <c r="M134" s="2" t="str">
        <f aca="false">CONCATENATE("https://d-nb.info/gnd/",L134)</f>
        <v>https://d-nb.info/gnd/4037223-6</v>
      </c>
      <c r="N134" s="3"/>
      <c r="P134" s="3" t="n">
        <v>300025136</v>
      </c>
      <c r="Q134" s="2" t="str">
        <f aca="false">CONCATENATE("https://vocab.getty.edu/aat/",P134)</f>
        <v>https://vocab.getty.edu/aat/300025136</v>
      </c>
      <c r="R134" s="2" t="s">
        <v>918</v>
      </c>
      <c r="S134" s="2" t="s">
        <v>919</v>
      </c>
      <c r="X134" s="2" t="n">
        <v>1</v>
      </c>
      <c r="Y134" s="2" t="n">
        <v>0</v>
      </c>
      <c r="AG134" s="4"/>
    </row>
    <row r="135" s="2" customFormat="true" ht="12.8" hidden="false" customHeight="false" outlineLevel="0" collapsed="false">
      <c r="A135" s="1" t="s">
        <v>920</v>
      </c>
      <c r="B135" s="2" t="n">
        <v>122</v>
      </c>
      <c r="D135" s="2" t="s">
        <v>921</v>
      </c>
      <c r="E135" s="2" t="s">
        <v>922</v>
      </c>
      <c r="F135" s="2" t="s">
        <v>923</v>
      </c>
      <c r="G135" s="2" t="s">
        <v>924</v>
      </c>
      <c r="H135" s="3" t="s">
        <v>925</v>
      </c>
      <c r="I135" s="2" t="str">
        <f aca="false">CONCATENATE("http://www.wikidata.org/entity/",H135)</f>
        <v>http://www.wikidata.org/entity/Q1792566</v>
      </c>
      <c r="J135" s="3" t="n">
        <v>1135626596</v>
      </c>
      <c r="K135" s="2" t="str">
        <f aca="false">CONCATENATE("https://d-nb.info/gnd/",J135)</f>
        <v>https://d-nb.info/gnd/1135626596</v>
      </c>
      <c r="L135" s="3"/>
      <c r="N135" s="3"/>
      <c r="P135" s="3"/>
      <c r="R135" s="2" t="s">
        <v>921</v>
      </c>
      <c r="S135" s="2" t="s">
        <v>923</v>
      </c>
      <c r="X135" s="2" t="n">
        <v>0</v>
      </c>
      <c r="Y135" s="2" t="n">
        <v>1</v>
      </c>
      <c r="AG135" s="4"/>
    </row>
    <row r="136" s="2" customFormat="true" ht="12.8" hidden="false" customHeight="false" outlineLevel="0" collapsed="false">
      <c r="A136" s="1" t="s">
        <v>926</v>
      </c>
      <c r="B136" s="2" t="n">
        <v>123</v>
      </c>
      <c r="D136" s="2" t="s">
        <v>927</v>
      </c>
      <c r="E136" s="2" t="s">
        <v>928</v>
      </c>
      <c r="F136" s="2" t="s">
        <v>929</v>
      </c>
      <c r="H136" s="3" t="s">
        <v>930</v>
      </c>
      <c r="I136" s="2" t="str">
        <f aca="false">CONCATENATE("http://www.wikidata.org/entity/",H136)</f>
        <v>http://www.wikidata.org/entity/Q674426</v>
      </c>
      <c r="J136" s="3" t="s">
        <v>931</v>
      </c>
      <c r="K136" s="2" t="str">
        <f aca="false">CONCATENATE("https://d-nb.info/gnd/",J136)</f>
        <v>https://d-nb.info/gnd/4688848-2</v>
      </c>
      <c r="L136" s="3" t="s">
        <v>932</v>
      </c>
      <c r="M136" s="2" t="str">
        <f aca="false">CONCATENATE("https://d-nb.info/gnd/",L136)</f>
        <v>https://d-nb.info/gnd/7602103-8</v>
      </c>
      <c r="N136" s="3"/>
      <c r="P136" s="3" t="n">
        <v>300025633</v>
      </c>
      <c r="Q136" s="2" t="str">
        <f aca="false">CONCATENATE("https://vocab.getty.edu/aat/",P136)</f>
        <v>https://vocab.getty.edu/aat/300025633</v>
      </c>
      <c r="R136" s="2" t="s">
        <v>927</v>
      </c>
      <c r="S136" s="2" t="s">
        <v>929</v>
      </c>
      <c r="X136" s="2" t="n">
        <v>0</v>
      </c>
      <c r="Y136" s="2" t="n">
        <v>0</v>
      </c>
      <c r="AG136" s="4"/>
    </row>
    <row r="137" s="2" customFormat="true" ht="12.8" hidden="false" customHeight="false" outlineLevel="0" collapsed="false">
      <c r="A137" s="1" t="s">
        <v>933</v>
      </c>
      <c r="B137" s="2" t="n">
        <v>124</v>
      </c>
      <c r="C137" s="2" t="n">
        <v>123</v>
      </c>
      <c r="D137" s="2" t="s">
        <v>934</v>
      </c>
      <c r="E137" s="2" t="s">
        <v>935</v>
      </c>
      <c r="F137" s="2" t="s">
        <v>936</v>
      </c>
      <c r="G137" s="2" t="s">
        <v>937</v>
      </c>
      <c r="H137" s="3" t="s">
        <v>938</v>
      </c>
      <c r="I137" s="2" t="str">
        <f aca="false">CONCATENATE("http://www.wikidata.org/entity/",H137)</f>
        <v>http://www.wikidata.org/entity/Q780596</v>
      </c>
      <c r="J137" s="3"/>
      <c r="L137" s="3"/>
      <c r="N137" s="3"/>
      <c r="P137" s="3" t="n">
        <v>300417893</v>
      </c>
      <c r="Q137" s="2" t="str">
        <f aca="false">CONCATENATE("https://vocab.getty.edu/aat/",P137)</f>
        <v>https://vocab.getty.edu/aat/300417893</v>
      </c>
      <c r="R137" s="2" t="s">
        <v>939</v>
      </c>
      <c r="S137" s="2" t="s">
        <v>940</v>
      </c>
      <c r="X137" s="2" t="n">
        <v>0</v>
      </c>
      <c r="Y137" s="2" t="n">
        <v>0</v>
      </c>
      <c r="AG137" s="4"/>
    </row>
    <row r="138" s="2" customFormat="true" ht="12.8" hidden="false" customHeight="false" outlineLevel="0" collapsed="false">
      <c r="A138" s="1" t="s">
        <v>941</v>
      </c>
      <c r="B138" s="2" t="n">
        <v>125</v>
      </c>
      <c r="D138" s="2" t="s">
        <v>942</v>
      </c>
      <c r="E138" s="2" t="s">
        <v>943</v>
      </c>
      <c r="F138" s="2" t="s">
        <v>944</v>
      </c>
      <c r="G138" s="2" t="s">
        <v>945</v>
      </c>
      <c r="H138" s="3" t="s">
        <v>946</v>
      </c>
      <c r="I138" s="2" t="str">
        <f aca="false">CONCATENATE("http://www.wikidata.org/entity/",H138)</f>
        <v>http://www.wikidata.org/entity/Q37226</v>
      </c>
      <c r="J138" s="3" t="s">
        <v>947</v>
      </c>
      <c r="K138" s="2" t="str">
        <f aca="false">CONCATENATE("https://d-nb.info/gnd/",J138)</f>
        <v>https://d-nb.info/gnd/4035088-5</v>
      </c>
      <c r="L138" s="3" t="s">
        <v>948</v>
      </c>
      <c r="M138" s="2" t="str">
        <f aca="false">CONCATENATE("https://d-nb.info/gnd/",L138)</f>
        <v>https://d-nb.info/gnd/4035097-6</v>
      </c>
      <c r="N138" s="3"/>
      <c r="P138" s="3" t="n">
        <v>300025529</v>
      </c>
      <c r="Q138" s="2" t="str">
        <f aca="false">CONCATENATE("https://vocab.getty.edu/aat/",P138)</f>
        <v>https://vocab.getty.edu/aat/300025529</v>
      </c>
      <c r="R138" s="2" t="s">
        <v>942</v>
      </c>
      <c r="S138" s="2" t="s">
        <v>944</v>
      </c>
      <c r="X138" s="2" t="n">
        <v>0</v>
      </c>
      <c r="Y138" s="2" t="n">
        <v>0</v>
      </c>
      <c r="AG138" s="4"/>
    </row>
    <row r="139" s="2" customFormat="true" ht="12.8" hidden="false" customHeight="false" outlineLevel="0" collapsed="false">
      <c r="A139" s="1" t="s">
        <v>949</v>
      </c>
      <c r="B139" s="2" t="n">
        <v>126</v>
      </c>
      <c r="C139" s="2" t="n">
        <v>125</v>
      </c>
      <c r="D139" s="2" t="s">
        <v>950</v>
      </c>
      <c r="E139" s="2" t="s">
        <v>951</v>
      </c>
      <c r="F139" s="2" t="s">
        <v>574</v>
      </c>
      <c r="H139" s="3" t="s">
        <v>952</v>
      </c>
      <c r="I139" s="2" t="str">
        <f aca="false">CONCATENATE("http://www.wikidata.org/entity/",H139)</f>
        <v>http://www.wikidata.org/entity/Q30002353</v>
      </c>
      <c r="J139" s="3" t="s">
        <v>953</v>
      </c>
      <c r="K139" s="2" t="str">
        <f aca="false">CONCATENATE("https://d-nb.info/gnd/",J139)</f>
        <v>https://d-nb.info/gnd/4182521-4</v>
      </c>
      <c r="L139" s="3" t="s">
        <v>954</v>
      </c>
      <c r="M139" s="2" t="str">
        <f aca="false">CONCATENATE("https://d-nb.info/gnd/",L139)</f>
        <v>https://d-nb.info/gnd/7637407-5</v>
      </c>
      <c r="N139" s="3"/>
      <c r="P139" s="3"/>
      <c r="R139" s="2" t="s">
        <v>955</v>
      </c>
      <c r="S139" s="2" t="s">
        <v>956</v>
      </c>
      <c r="X139" s="2" t="n">
        <v>0</v>
      </c>
      <c r="Y139" s="2" t="n">
        <v>0</v>
      </c>
      <c r="AG139" s="4"/>
    </row>
    <row r="140" s="2" customFormat="true" ht="12.8" hidden="false" customHeight="false" outlineLevel="0" collapsed="false">
      <c r="A140" s="1" t="s">
        <v>957</v>
      </c>
      <c r="B140" s="2" t="n">
        <v>127</v>
      </c>
      <c r="C140" s="2" t="n">
        <v>126</v>
      </c>
      <c r="D140" s="2" t="s">
        <v>958</v>
      </c>
      <c r="E140" s="2" t="s">
        <v>959</v>
      </c>
      <c r="F140" s="2" t="s">
        <v>960</v>
      </c>
      <c r="H140" s="3" t="s">
        <v>961</v>
      </c>
      <c r="I140" s="2" t="str">
        <f aca="false">CONCATENATE("http://www.wikidata.org/entity/",H140)</f>
        <v>http://www.wikidata.org/entity/Q101444631</v>
      </c>
      <c r="J140" s="3" t="s">
        <v>962</v>
      </c>
      <c r="K140" s="2" t="str">
        <f aca="false">CONCATENATE("https://d-nb.info/gnd/",J140)</f>
        <v>https://d-nb.info/gnd/4152284-9</v>
      </c>
      <c r="L140" s="3" t="s">
        <v>963</v>
      </c>
      <c r="M140" s="2" t="str">
        <f aca="false">CONCATENATE("https://d-nb.info/gnd/",L140)</f>
        <v>https://d-nb.info/gnd/4413104-5</v>
      </c>
      <c r="N140" s="3"/>
      <c r="P140" s="3"/>
      <c r="R140" s="2" t="s">
        <v>964</v>
      </c>
      <c r="S140" s="2" t="s">
        <v>965</v>
      </c>
      <c r="X140" s="2" t="n">
        <v>0</v>
      </c>
      <c r="Y140" s="2" t="n">
        <v>0</v>
      </c>
      <c r="AG140" s="4"/>
    </row>
    <row r="141" s="2" customFormat="true" ht="12.8" hidden="false" customHeight="false" outlineLevel="0" collapsed="false">
      <c r="A141" s="1" t="s">
        <v>966</v>
      </c>
      <c r="B141" s="2" t="n">
        <v>128</v>
      </c>
      <c r="D141" s="2" t="s">
        <v>967</v>
      </c>
      <c r="E141" s="2" t="s">
        <v>968</v>
      </c>
      <c r="F141" s="2" t="s">
        <v>969</v>
      </c>
      <c r="H141" s="3" t="s">
        <v>970</v>
      </c>
      <c r="I141" s="2" t="str">
        <f aca="false">CONCATENATE("http://www.wikidata.org/entity/",H141)</f>
        <v>http://www.wikidata.org/entity/Q8178443</v>
      </c>
      <c r="J141" s="3" t="s">
        <v>971</v>
      </c>
      <c r="K141" s="2" t="str">
        <f aca="false">CONCATENATE("https://d-nb.info/gnd/",J141)</f>
        <v>https://d-nb.info/gnd/4167564-2</v>
      </c>
      <c r="L141" s="3" t="s">
        <v>972</v>
      </c>
      <c r="M141" s="2" t="str">
        <f aca="false">CONCATENATE("https://d-nb.info/gnd/",L141)</f>
        <v>https://d-nb.info/gnd/4683584-2</v>
      </c>
      <c r="N141" s="3"/>
      <c r="P141" s="3" t="n">
        <v>300025674</v>
      </c>
      <c r="Q141" s="2" t="str">
        <f aca="false">CONCATENATE("https://vocab.getty.edu/aat/",P141)</f>
        <v>https://vocab.getty.edu/aat/300025674</v>
      </c>
      <c r="R141" s="2" t="s">
        <v>967</v>
      </c>
      <c r="S141" s="2" t="s">
        <v>969</v>
      </c>
      <c r="X141" s="2" t="n">
        <v>1</v>
      </c>
      <c r="Y141" s="2" t="n">
        <v>0</v>
      </c>
      <c r="AG141" s="4"/>
    </row>
    <row r="142" s="2" customFormat="true" ht="12.8" hidden="false" customHeight="false" outlineLevel="0" collapsed="false">
      <c r="A142" s="1" t="s">
        <v>973</v>
      </c>
      <c r="B142" s="2" t="n">
        <v>129</v>
      </c>
      <c r="D142" s="2" t="s">
        <v>974</v>
      </c>
      <c r="E142" s="2" t="s">
        <v>975</v>
      </c>
      <c r="F142" s="2" t="s">
        <v>976</v>
      </c>
      <c r="H142" s="3" t="s">
        <v>977</v>
      </c>
      <c r="I142" s="2" t="str">
        <f aca="false">CONCATENATE("http://www.wikidata.org/entity/",H142)</f>
        <v>http://www.wikidata.org/entity/Q14467526</v>
      </c>
      <c r="J142" s="3" t="s">
        <v>978</v>
      </c>
      <c r="K142" s="2" t="str">
        <f aca="false">CONCATENATE("https://d-nb.info/gnd/",J142)</f>
        <v>https://d-nb.info/gnd/4224183-2</v>
      </c>
      <c r="L142" s="3" t="s">
        <v>979</v>
      </c>
      <c r="M142" s="2" t="str">
        <f aca="false">CONCATENATE("https://d-nb.info/gnd/",L142)</f>
        <v>https://d-nb.info/gnd/4362368-2</v>
      </c>
      <c r="N142" s="3"/>
      <c r="P142" s="3" t="n">
        <v>300025561</v>
      </c>
      <c r="Q142" s="2" t="str">
        <f aca="false">CONCATENATE("https://vocab.getty.edu/aat/",P142)</f>
        <v>https://vocab.getty.edu/aat/300025561</v>
      </c>
      <c r="R142" s="2" t="s">
        <v>974</v>
      </c>
      <c r="S142" s="2" t="s">
        <v>976</v>
      </c>
      <c r="X142" s="2" t="n">
        <v>0</v>
      </c>
      <c r="Y142" s="2" t="n">
        <v>0</v>
      </c>
      <c r="AG142" s="4"/>
    </row>
    <row r="143" s="2" customFormat="true" ht="12.8" hidden="false" customHeight="false" outlineLevel="0" collapsed="false">
      <c r="A143" s="1" t="s">
        <v>980</v>
      </c>
      <c r="B143" s="2" t="n">
        <v>130</v>
      </c>
      <c r="C143" s="2" t="n">
        <v>129</v>
      </c>
      <c r="D143" s="2" t="s">
        <v>981</v>
      </c>
      <c r="E143" s="2" t="s">
        <v>982</v>
      </c>
      <c r="F143" s="2" t="s">
        <v>983</v>
      </c>
      <c r="G143" s="2" t="s">
        <v>984</v>
      </c>
      <c r="H143" s="3" t="s">
        <v>985</v>
      </c>
      <c r="I143" s="2" t="str">
        <f aca="false">CONCATENATE("http://www.wikidata.org/entity/",H143)</f>
        <v>http://www.wikidata.org/entity/Q2504617</v>
      </c>
      <c r="J143" s="3" t="s">
        <v>986</v>
      </c>
      <c r="K143" s="2" t="str">
        <f aca="false">CONCATENATE("https://d-nb.info/gnd/",J143)</f>
        <v>https://d-nb.info/gnd/4219681-4</v>
      </c>
      <c r="L143" s="3" t="s">
        <v>987</v>
      </c>
      <c r="M143" s="2" t="str">
        <f aca="false">CONCATENATE("https://d-nb.info/gnd/",L143)</f>
        <v>https://d-nb.info/gnd/7539218-5</v>
      </c>
      <c r="N143" s="3"/>
      <c r="P143" s="3"/>
      <c r="R143" s="2" t="s">
        <v>988</v>
      </c>
      <c r="S143" s="2" t="s">
        <v>989</v>
      </c>
      <c r="X143" s="2" t="n">
        <v>0</v>
      </c>
      <c r="Y143" s="2" t="n">
        <v>0</v>
      </c>
      <c r="AG143" s="4"/>
    </row>
    <row r="144" s="2" customFormat="true" ht="12.8" hidden="false" customHeight="false" outlineLevel="0" collapsed="false">
      <c r="A144" s="1" t="s">
        <v>990</v>
      </c>
      <c r="B144" s="2" t="n">
        <v>131</v>
      </c>
      <c r="D144" s="2" t="s">
        <v>991</v>
      </c>
      <c r="E144" s="2" t="s">
        <v>992</v>
      </c>
      <c r="F144" s="2" t="s">
        <v>993</v>
      </c>
      <c r="G144" s="2" t="s">
        <v>994</v>
      </c>
      <c r="H144" s="3" t="s">
        <v>995</v>
      </c>
      <c r="I144" s="2" t="str">
        <f aca="false">CONCATENATE("http://www.wikidata.org/entity/",H144)</f>
        <v>http://www.wikidata.org/entity/Q2775569</v>
      </c>
      <c r="J144" s="3" t="s">
        <v>996</v>
      </c>
      <c r="K144" s="2" t="str">
        <f aca="false">CONCATENATE("https://d-nb.info/gnd/",J144)</f>
        <v>https://d-nb.info/gnd/4168131-9</v>
      </c>
      <c r="L144" s="3"/>
      <c r="N144" s="3"/>
      <c r="P144" s="3"/>
      <c r="R144" s="2" t="s">
        <v>991</v>
      </c>
      <c r="S144" s="2" t="s">
        <v>993</v>
      </c>
      <c r="X144" s="2" t="n">
        <v>0</v>
      </c>
      <c r="Y144" s="2" t="n">
        <v>0</v>
      </c>
      <c r="AG144" s="4"/>
    </row>
    <row r="145" s="2" customFormat="true" ht="12.8" hidden="false" customHeight="false" outlineLevel="0" collapsed="false">
      <c r="A145" s="1" t="s">
        <v>997</v>
      </c>
      <c r="B145" s="2" t="n">
        <v>132</v>
      </c>
      <c r="D145" s="2" t="s">
        <v>998</v>
      </c>
      <c r="E145" s="2" t="s">
        <v>999</v>
      </c>
      <c r="F145" s="2" t="s">
        <v>1000</v>
      </c>
      <c r="H145" s="3" t="s">
        <v>1001</v>
      </c>
      <c r="I145" s="2" t="str">
        <f aca="false">CONCATENATE("http://www.wikidata.org/entity/",H145)</f>
        <v>http://www.wikidata.org/entity/Q88104927</v>
      </c>
      <c r="J145" s="3"/>
      <c r="L145" s="3"/>
      <c r="N145" s="3"/>
      <c r="P145" s="3"/>
      <c r="R145" s="2" t="s">
        <v>998</v>
      </c>
      <c r="S145" s="2" t="s">
        <v>1000</v>
      </c>
      <c r="X145" s="2" t="n">
        <v>0</v>
      </c>
      <c r="Y145" s="2" t="n">
        <v>0</v>
      </c>
      <c r="AG145" s="4"/>
    </row>
    <row r="146" s="2" customFormat="true" ht="12.8" hidden="false" customHeight="false" outlineLevel="0" collapsed="false">
      <c r="A146" s="1" t="s">
        <v>1002</v>
      </c>
      <c r="B146" s="2" t="n">
        <v>133</v>
      </c>
      <c r="D146" s="2" t="s">
        <v>1003</v>
      </c>
      <c r="E146" s="2" t="s">
        <v>1004</v>
      </c>
      <c r="F146" s="2" t="s">
        <v>1005</v>
      </c>
      <c r="H146" s="3" t="s">
        <v>1006</v>
      </c>
      <c r="I146" s="2" t="str">
        <f aca="false">CONCATENATE("http://www.wikidata.org/entity/",H146)</f>
        <v>http://www.wikidata.org/entity/Q2462658</v>
      </c>
      <c r="J146" s="3"/>
      <c r="L146" s="3"/>
      <c r="N146" s="3"/>
      <c r="P146" s="3" t="n">
        <v>300025435</v>
      </c>
      <c r="Q146" s="2" t="str">
        <f aca="false">CONCATENATE("https://vocab.getty.edu/aat/",P146)</f>
        <v>https://vocab.getty.edu/aat/300025435</v>
      </c>
      <c r="R146" s="2" t="s">
        <v>1003</v>
      </c>
      <c r="S146" s="2" t="s">
        <v>1005</v>
      </c>
      <c r="X146" s="2" t="n">
        <v>0</v>
      </c>
      <c r="Y146" s="2" t="n">
        <v>0</v>
      </c>
      <c r="AG146" s="4"/>
    </row>
    <row r="147" s="2" customFormat="true" ht="12.8" hidden="false" customHeight="false" outlineLevel="0" collapsed="false">
      <c r="A147" s="1" t="s">
        <v>1007</v>
      </c>
      <c r="B147" s="2" t="n">
        <v>134</v>
      </c>
      <c r="D147" s="2" t="s">
        <v>1008</v>
      </c>
      <c r="E147" s="2" t="s">
        <v>1009</v>
      </c>
      <c r="F147" s="2" t="s">
        <v>1010</v>
      </c>
      <c r="H147" s="3" t="s">
        <v>1011</v>
      </c>
      <c r="I147" s="2" t="str">
        <f aca="false">CONCATENATE("http://www.wikidata.org/entity/",H147)</f>
        <v>http://www.wikidata.org/entity/Q935666</v>
      </c>
      <c r="J147" s="3" t="s">
        <v>1012</v>
      </c>
      <c r="K147" s="2" t="str">
        <f aca="false">CONCATENATE("https://d-nb.info/gnd/",J147)</f>
        <v>https://d-nb.info/gnd/4491206-7</v>
      </c>
      <c r="L147" s="3" t="s">
        <v>1013</v>
      </c>
      <c r="M147" s="2" t="str">
        <f aca="false">CONCATENATE("https://d-nb.info/gnd/",L147)</f>
        <v>https://d-nb.info/gnd/4739697-0</v>
      </c>
      <c r="N147" s="3"/>
      <c r="P147" s="3"/>
      <c r="R147" s="2" t="s">
        <v>1008</v>
      </c>
      <c r="S147" s="2" t="s">
        <v>1010</v>
      </c>
      <c r="X147" s="2" t="n">
        <v>0</v>
      </c>
      <c r="Y147" s="2" t="n">
        <v>0</v>
      </c>
      <c r="AG147" s="4"/>
    </row>
    <row r="148" s="2" customFormat="true" ht="12.8" hidden="false" customHeight="false" outlineLevel="0" collapsed="false">
      <c r="A148" s="1" t="s">
        <v>1014</v>
      </c>
      <c r="B148" s="2" t="n">
        <v>135</v>
      </c>
      <c r="D148" s="2" t="s">
        <v>1015</v>
      </c>
      <c r="E148" s="2" t="s">
        <v>1016</v>
      </c>
      <c r="F148" s="2" t="s">
        <v>1017</v>
      </c>
      <c r="G148" s="2" t="s">
        <v>1018</v>
      </c>
      <c r="H148" s="3" t="s">
        <v>1019</v>
      </c>
      <c r="I148" s="2" t="str">
        <f aca="false">CONCATENATE("http://www.wikidata.org/entity/",H148)</f>
        <v>http://www.wikidata.org/entity/Q327321</v>
      </c>
      <c r="J148" s="3" t="s">
        <v>1020</v>
      </c>
      <c r="K148" s="2" t="str">
        <f aca="false">CONCATENATE("https://d-nb.info/gnd/",J148)</f>
        <v>https://d-nb.info/gnd/4275791-5</v>
      </c>
      <c r="L148" s="3" t="s">
        <v>1021</v>
      </c>
      <c r="M148" s="2" t="str">
        <f aca="false">CONCATENATE("https://d-nb.info/gnd/",L148)</f>
        <v>https://d-nb.info/gnd/7539353-0</v>
      </c>
      <c r="N148" s="3"/>
      <c r="P148" s="3" t="n">
        <v>300025040</v>
      </c>
      <c r="Q148" s="2" t="str">
        <f aca="false">CONCATENATE("https://vocab.getty.edu/aat/",P148)</f>
        <v>https://vocab.getty.edu/aat/300025040</v>
      </c>
      <c r="R148" s="2" t="s">
        <v>1015</v>
      </c>
      <c r="S148" s="2" t="s">
        <v>1017</v>
      </c>
      <c r="X148" s="2" t="n">
        <v>0</v>
      </c>
      <c r="Y148" s="2" t="n">
        <v>0</v>
      </c>
      <c r="AG148" s="4"/>
    </row>
    <row r="149" s="2" customFormat="true" ht="12.8" hidden="false" customHeight="false" outlineLevel="0" collapsed="false">
      <c r="A149" s="1" t="s">
        <v>1022</v>
      </c>
      <c r="B149" s="2" t="n">
        <v>136</v>
      </c>
      <c r="D149" s="2" t="s">
        <v>1023</v>
      </c>
      <c r="E149" s="2" t="s">
        <v>1024</v>
      </c>
      <c r="F149" s="2" t="s">
        <v>1025</v>
      </c>
      <c r="H149" s="3" t="s">
        <v>1026</v>
      </c>
      <c r="I149" s="2" t="str">
        <f aca="false">CONCATENATE("http://www.wikidata.org/entity/",H149)</f>
        <v>http://www.wikidata.org/entity/Q108800680</v>
      </c>
      <c r="J149" s="3"/>
      <c r="L149" s="3"/>
      <c r="N149" s="3"/>
      <c r="P149" s="3"/>
      <c r="R149" s="2" t="s">
        <v>1023</v>
      </c>
      <c r="S149" s="2" t="s">
        <v>1025</v>
      </c>
      <c r="X149" s="2" t="n">
        <v>0</v>
      </c>
      <c r="Y149" s="2" t="n">
        <v>0</v>
      </c>
      <c r="AG149" s="4"/>
    </row>
    <row r="150" s="2" customFormat="true" ht="12.8" hidden="false" customHeight="false" outlineLevel="0" collapsed="false">
      <c r="A150" s="1" t="s">
        <v>1027</v>
      </c>
      <c r="B150" s="2" t="n">
        <v>137</v>
      </c>
      <c r="D150" s="2" t="s">
        <v>1028</v>
      </c>
      <c r="F150" s="2" t="s">
        <v>1029</v>
      </c>
      <c r="G150" s="2" t="s">
        <v>1030</v>
      </c>
      <c r="H150" s="3" t="s">
        <v>1031</v>
      </c>
      <c r="I150" s="2" t="str">
        <f aca="false">CONCATENATE("http://www.wikidata.org/entity/",H150)</f>
        <v>http://www.wikidata.org/entity/Q339431</v>
      </c>
      <c r="J150" s="3"/>
      <c r="L150" s="3"/>
      <c r="N150" s="3"/>
      <c r="P150" s="3"/>
      <c r="R150" s="2" t="s">
        <v>1028</v>
      </c>
      <c r="S150" s="2" t="s">
        <v>1029</v>
      </c>
      <c r="X150" s="2" t="n">
        <v>1</v>
      </c>
      <c r="Y150" s="2" t="n">
        <v>0</v>
      </c>
      <c r="AG150" s="4"/>
    </row>
    <row r="151" s="2" customFormat="true" ht="12.8" hidden="false" customHeight="false" outlineLevel="0" collapsed="false">
      <c r="A151" s="1" t="s">
        <v>1032</v>
      </c>
      <c r="B151" s="2" t="n">
        <v>138</v>
      </c>
      <c r="D151" s="2" t="s">
        <v>1033</v>
      </c>
      <c r="E151" s="2" t="s">
        <v>1034</v>
      </c>
      <c r="F151" s="2" t="s">
        <v>1035</v>
      </c>
      <c r="H151" s="3" t="s">
        <v>1036</v>
      </c>
      <c r="I151" s="2" t="str">
        <f aca="false">CONCATENATE("http://www.wikidata.org/entity/",H151)</f>
        <v>http://www.wikidata.org/entity/Q24229398</v>
      </c>
      <c r="J151" s="3"/>
      <c r="L151" s="3"/>
      <c r="N151" s="3"/>
      <c r="P151" s="3" t="n">
        <v>300403974</v>
      </c>
      <c r="Q151" s="2" t="str">
        <f aca="false">CONCATENATE("https://vocab.getty.edu/aat/",P151)</f>
        <v>https://vocab.getty.edu/aat/300403974</v>
      </c>
      <c r="R151" s="2" t="s">
        <v>1033</v>
      </c>
      <c r="S151" s="2" t="s">
        <v>1035</v>
      </c>
      <c r="X151" s="2" t="n">
        <v>0</v>
      </c>
      <c r="Y151" s="2" t="n">
        <v>0</v>
      </c>
      <c r="AG151" s="4"/>
    </row>
    <row r="152" s="2" customFormat="true" ht="12.8" hidden="false" customHeight="false" outlineLevel="0" collapsed="false">
      <c r="A152" s="1" t="s">
        <v>1037</v>
      </c>
      <c r="B152" s="2" t="n">
        <v>139</v>
      </c>
      <c r="D152" s="2" t="s">
        <v>1038</v>
      </c>
      <c r="E152" s="2" t="s">
        <v>587</v>
      </c>
      <c r="F152" s="2" t="s">
        <v>1039</v>
      </c>
      <c r="H152" s="3" t="s">
        <v>1040</v>
      </c>
      <c r="I152" s="2" t="str">
        <f aca="false">CONCATENATE("http://www.wikidata.org/entity/",H152)</f>
        <v>http://www.wikidata.org/entity/Q97746411</v>
      </c>
      <c r="J152" s="3"/>
      <c r="L152" s="3"/>
      <c r="N152" s="3"/>
      <c r="P152" s="3"/>
      <c r="R152" s="2" t="s">
        <v>1038</v>
      </c>
      <c r="S152" s="2" t="s">
        <v>1039</v>
      </c>
      <c r="X152" s="2" t="n">
        <v>0</v>
      </c>
      <c r="Y152" s="2" t="n">
        <v>0</v>
      </c>
      <c r="AG152" s="4"/>
    </row>
    <row r="153" s="2" customFormat="true" ht="12.8" hidden="false" customHeight="false" outlineLevel="0" collapsed="false">
      <c r="A153" s="1" t="s">
        <v>1041</v>
      </c>
      <c r="B153" s="2" t="n">
        <v>140</v>
      </c>
      <c r="D153" s="2" t="s">
        <v>1042</v>
      </c>
      <c r="E153" s="2" t="s">
        <v>1043</v>
      </c>
      <c r="F153" s="2" t="s">
        <v>1044</v>
      </c>
      <c r="H153" s="3" t="s">
        <v>1045</v>
      </c>
      <c r="I153" s="2" t="str">
        <f aca="false">CONCATENATE("http://www.wikidata.org/entity/",H153)</f>
        <v>http://www.wikidata.org/entity/Q29448653</v>
      </c>
      <c r="J153" s="3"/>
      <c r="L153" s="3"/>
      <c r="N153" s="3"/>
      <c r="P153" s="3"/>
      <c r="R153" s="2" t="s">
        <v>1042</v>
      </c>
      <c r="S153" s="2" t="s">
        <v>1044</v>
      </c>
      <c r="X153" s="2" t="n">
        <v>0</v>
      </c>
      <c r="Y153" s="2" t="n">
        <v>0</v>
      </c>
      <c r="AG153" s="4"/>
    </row>
    <row r="154" s="2" customFormat="true" ht="12.8" hidden="false" customHeight="false" outlineLevel="0" collapsed="false">
      <c r="A154" s="1" t="s">
        <v>1046</v>
      </c>
      <c r="B154" s="2" t="n">
        <v>141</v>
      </c>
      <c r="D154" s="2" t="s">
        <v>1047</v>
      </c>
      <c r="E154" s="2" t="s">
        <v>1048</v>
      </c>
      <c r="F154" s="2" t="s">
        <v>1049</v>
      </c>
      <c r="G154" s="2" t="s">
        <v>1050</v>
      </c>
      <c r="H154" s="3" t="s">
        <v>1051</v>
      </c>
      <c r="I154" s="2" t="str">
        <f aca="false">CONCATENATE("http://www.wikidata.org/entity/",H154)</f>
        <v>http://www.wikidata.org/entity/Q2088357</v>
      </c>
      <c r="J154" s="3"/>
      <c r="L154" s="3"/>
      <c r="N154" s="3" t="s">
        <v>1052</v>
      </c>
      <c r="O154" s="2" t="str">
        <f aca="false">CONCATENATE("https://d-nb.info/gnd/",N154)</f>
        <v>https://d-nb.info/gnd/4212188-7</v>
      </c>
      <c r="P154" s="3" t="n">
        <v>300205024</v>
      </c>
      <c r="Q154" s="2" t="str">
        <f aca="false">CONCATENATE("https://vocab.getty.edu/aat/",P154)</f>
        <v>https://vocab.getty.edu/aat/300205024</v>
      </c>
      <c r="R154" s="2" t="s">
        <v>1047</v>
      </c>
      <c r="S154" s="2" t="s">
        <v>1049</v>
      </c>
      <c r="X154" s="2" t="n">
        <v>0</v>
      </c>
      <c r="Y154" s="2" t="n">
        <v>1</v>
      </c>
      <c r="AG154" s="4"/>
    </row>
    <row r="155" s="2" customFormat="true" ht="12.8" hidden="false" customHeight="false" outlineLevel="0" collapsed="false">
      <c r="A155" s="1" t="s">
        <v>1053</v>
      </c>
      <c r="B155" s="2" t="n">
        <v>142</v>
      </c>
      <c r="C155" s="2" t="n">
        <v>141</v>
      </c>
      <c r="D155" s="2" t="s">
        <v>1054</v>
      </c>
      <c r="E155" s="2" t="s">
        <v>587</v>
      </c>
      <c r="F155" s="2" t="s">
        <v>1055</v>
      </c>
      <c r="H155" s="3" t="s">
        <v>1056</v>
      </c>
      <c r="I155" s="2" t="str">
        <f aca="false">CONCATENATE("http://www.wikidata.org/entity/",H155)</f>
        <v>http://www.wikidata.org/entity/Q215380</v>
      </c>
      <c r="J155" s="3"/>
      <c r="L155" s="3"/>
      <c r="N155" s="3" t="s">
        <v>1057</v>
      </c>
      <c r="O155" s="2" t="str">
        <f aca="false">CONCATENATE("https://d-nb.info/gnd/",N155)</f>
        <v>https://d-nb.info/gnd/4170827-1</v>
      </c>
      <c r="P155" s="3" t="n">
        <v>300205065</v>
      </c>
      <c r="Q155" s="2" t="str">
        <f aca="false">CONCATENATE("https://vocab.getty.edu/aat/",P155)</f>
        <v>https://vocab.getty.edu/aat/300205065</v>
      </c>
      <c r="R155" s="2" t="s">
        <v>1058</v>
      </c>
      <c r="S155" s="2" t="s">
        <v>1059</v>
      </c>
      <c r="X155" s="2" t="n">
        <v>0</v>
      </c>
      <c r="Y155" s="2" t="n">
        <v>1</v>
      </c>
      <c r="AG155" s="4"/>
    </row>
    <row r="156" s="2" customFormat="true" ht="12.8" hidden="false" customHeight="false" outlineLevel="0" collapsed="false">
      <c r="A156" s="1" t="s">
        <v>1060</v>
      </c>
      <c r="B156" s="2" t="n">
        <v>143</v>
      </c>
      <c r="C156" s="2" t="n">
        <v>141</v>
      </c>
      <c r="D156" s="2" t="s">
        <v>1061</v>
      </c>
      <c r="E156" s="2" t="s">
        <v>587</v>
      </c>
      <c r="F156" s="2" t="s">
        <v>1062</v>
      </c>
      <c r="H156" s="3" t="s">
        <v>1063</v>
      </c>
      <c r="I156" s="2" t="str">
        <f aca="false">CONCATENATE("http://www.wikidata.org/entity/",H156)</f>
        <v>http://www.wikidata.org/entity/Q131186</v>
      </c>
      <c r="J156" s="3"/>
      <c r="L156" s="3"/>
      <c r="N156" s="3" t="s">
        <v>1064</v>
      </c>
      <c r="O156" s="2" t="str">
        <f aca="false">CONCATENATE("https://d-nb.info/gnd/",N156)</f>
        <v>https://d-nb.info/gnd/4010045-5</v>
      </c>
      <c r="P156" s="3" t="n">
        <v>300389787</v>
      </c>
      <c r="Q156" s="2" t="str">
        <f aca="false">CONCATENATE("https://vocab.getty.edu/aat/",P156)</f>
        <v>https://vocab.getty.edu/aat/300389787</v>
      </c>
      <c r="R156" s="2" t="s">
        <v>1065</v>
      </c>
      <c r="S156" s="2" t="s">
        <v>1066</v>
      </c>
      <c r="X156" s="2" t="n">
        <v>0</v>
      </c>
      <c r="Y156" s="2" t="n">
        <v>1</v>
      </c>
      <c r="AG156" s="4"/>
    </row>
    <row r="157" s="2" customFormat="true" ht="12.8" hidden="false" customHeight="false" outlineLevel="0" collapsed="false">
      <c r="A157" s="1" t="s">
        <v>1067</v>
      </c>
      <c r="B157" s="2" t="n">
        <v>144</v>
      </c>
      <c r="C157" s="2" t="n">
        <v>143</v>
      </c>
      <c r="D157" s="2" t="s">
        <v>1068</v>
      </c>
      <c r="E157" s="2" t="s">
        <v>587</v>
      </c>
      <c r="F157" s="2" t="s">
        <v>1069</v>
      </c>
      <c r="H157" s="3" t="s">
        <v>1070</v>
      </c>
      <c r="I157" s="2" t="str">
        <f aca="false">CONCATENATE("http://www.wikidata.org/entity/",H157)</f>
        <v>http://www.wikidata.org/entity/Q1076344</v>
      </c>
      <c r="J157" s="3"/>
      <c r="L157" s="3"/>
      <c r="N157" s="3"/>
      <c r="P157" s="3"/>
      <c r="R157" s="2" t="s">
        <v>1071</v>
      </c>
      <c r="S157" s="2" t="s">
        <v>1072</v>
      </c>
      <c r="X157" s="2" t="n">
        <v>0</v>
      </c>
      <c r="Y157" s="2" t="n">
        <v>1</v>
      </c>
      <c r="AG157" s="4"/>
    </row>
    <row r="158" s="2" customFormat="true" ht="12.8" hidden="false" customHeight="false" outlineLevel="0" collapsed="false">
      <c r="A158" s="1" t="s">
        <v>1073</v>
      </c>
      <c r="B158" s="2" t="n">
        <v>145</v>
      </c>
      <c r="C158" s="2" t="n">
        <v>143</v>
      </c>
      <c r="D158" s="2" t="s">
        <v>1074</v>
      </c>
      <c r="E158" s="2" t="s">
        <v>587</v>
      </c>
      <c r="F158" s="2" t="s">
        <v>1075</v>
      </c>
      <c r="H158" s="3" t="s">
        <v>1076</v>
      </c>
      <c r="I158" s="2" t="str">
        <f aca="false">CONCATENATE("http://www.wikidata.org/entity/",H158)</f>
        <v>http://www.wikidata.org/entity/Q1451652</v>
      </c>
      <c r="J158" s="3"/>
      <c r="L158" s="3"/>
      <c r="N158" s="3" t="s">
        <v>1077</v>
      </c>
      <c r="O158" s="2" t="str">
        <f aca="false">CONCATENATE("https://d-nb.info/gnd/",N158)</f>
        <v>https://d-nb.info/gnd/4310304-2</v>
      </c>
      <c r="P158" s="3"/>
      <c r="R158" s="2" t="s">
        <v>1078</v>
      </c>
      <c r="S158" s="2" t="s">
        <v>1079</v>
      </c>
      <c r="X158" s="2" t="n">
        <v>0</v>
      </c>
      <c r="Y158" s="2" t="n">
        <v>1</v>
      </c>
      <c r="AG158" s="4"/>
    </row>
    <row r="159" s="2" customFormat="true" ht="12.8" hidden="false" customHeight="false" outlineLevel="0" collapsed="false">
      <c r="A159" s="1" t="s">
        <v>1080</v>
      </c>
      <c r="B159" s="2" t="n">
        <v>146</v>
      </c>
      <c r="C159" s="2" t="n">
        <v>143</v>
      </c>
      <c r="D159" s="2" t="s">
        <v>1081</v>
      </c>
      <c r="E159" s="2" t="s">
        <v>587</v>
      </c>
      <c r="F159" s="2" t="s">
        <v>1082</v>
      </c>
      <c r="H159" s="3" t="s">
        <v>1083</v>
      </c>
      <c r="I159" s="2" t="str">
        <f aca="false">CONCATENATE("http://www.wikidata.org/entity/",H159)</f>
        <v>http://www.wikidata.org/entity/Q1753063</v>
      </c>
      <c r="J159" s="3"/>
      <c r="L159" s="3"/>
      <c r="N159" s="3" t="s">
        <v>1084</v>
      </c>
      <c r="O159" s="2" t="str">
        <f aca="false">CONCATENATE("https://d-nb.info/gnd/",N159)</f>
        <v>https://d-nb.info/gnd/4163811-6</v>
      </c>
      <c r="P159" s="3"/>
      <c r="R159" s="2" t="s">
        <v>1085</v>
      </c>
      <c r="S159" s="2" t="s">
        <v>1086</v>
      </c>
      <c r="X159" s="2" t="n">
        <v>0</v>
      </c>
      <c r="Y159" s="2" t="n">
        <v>1</v>
      </c>
      <c r="AG159" s="4"/>
    </row>
    <row r="160" s="2" customFormat="true" ht="12.8" hidden="false" customHeight="false" outlineLevel="0" collapsed="false">
      <c r="A160" s="1" t="s">
        <v>1087</v>
      </c>
      <c r="B160" s="2" t="n">
        <v>147</v>
      </c>
      <c r="C160" s="2" t="n">
        <v>143</v>
      </c>
      <c r="D160" s="2" t="s">
        <v>1088</v>
      </c>
      <c r="E160" s="2" t="s">
        <v>587</v>
      </c>
      <c r="F160" s="2" t="s">
        <v>1089</v>
      </c>
      <c r="H160" s="3" t="s">
        <v>1090</v>
      </c>
      <c r="I160" s="2" t="str">
        <f aca="false">CONCATENATE("http://www.wikidata.org/entity/",H160)</f>
        <v>http://www.wikidata.org/entity/Q1776834</v>
      </c>
      <c r="J160" s="3"/>
      <c r="L160" s="3"/>
      <c r="N160" s="3" t="s">
        <v>1091</v>
      </c>
      <c r="O160" s="2" t="str">
        <f aca="false">CONCATENATE("https://d-nb.info/gnd/",N160)</f>
        <v>https://d-nb.info/gnd/4289869-9</v>
      </c>
      <c r="P160" s="3"/>
      <c r="R160" s="2" t="s">
        <v>1092</v>
      </c>
      <c r="S160" s="2" t="s">
        <v>1093</v>
      </c>
      <c r="X160" s="2" t="n">
        <v>0</v>
      </c>
      <c r="Y160" s="2" t="n">
        <v>1</v>
      </c>
      <c r="AG160" s="4"/>
    </row>
    <row r="161" s="2" customFormat="true" ht="12.8" hidden="false" customHeight="false" outlineLevel="0" collapsed="false">
      <c r="A161" s="1" t="s">
        <v>1094</v>
      </c>
      <c r="B161" s="2" t="n">
        <v>148</v>
      </c>
      <c r="C161" s="2" t="n">
        <v>143</v>
      </c>
      <c r="D161" s="2" t="s">
        <v>1095</v>
      </c>
      <c r="E161" s="2" t="s">
        <v>587</v>
      </c>
      <c r="F161" s="2" t="s">
        <v>1096</v>
      </c>
      <c r="H161" s="3" t="s">
        <v>1097</v>
      </c>
      <c r="I161" s="2" t="str">
        <f aca="false">CONCATENATE("http://www.wikidata.org/entity/",H161)</f>
        <v>http://www.wikidata.org/entity/Q1684352</v>
      </c>
      <c r="J161" s="3"/>
      <c r="L161" s="3"/>
      <c r="N161" s="3" t="s">
        <v>1098</v>
      </c>
      <c r="O161" s="2" t="str">
        <f aca="false">CONCATENATE("https://d-nb.info/gnd/",N161)</f>
        <v>https://d-nb.info/gnd/4168467-9</v>
      </c>
      <c r="P161" s="3"/>
      <c r="R161" s="2" t="s">
        <v>1099</v>
      </c>
      <c r="S161" s="2" t="s">
        <v>1100</v>
      </c>
      <c r="X161" s="2" t="n">
        <v>0</v>
      </c>
      <c r="Y161" s="2" t="n">
        <v>1</v>
      </c>
      <c r="AG161" s="4"/>
    </row>
    <row r="162" s="2" customFormat="true" ht="12.8" hidden="false" customHeight="false" outlineLevel="0" collapsed="false">
      <c r="A162" s="1" t="s">
        <v>1101</v>
      </c>
      <c r="B162" s="2" t="n">
        <v>149</v>
      </c>
      <c r="C162" s="2" t="n">
        <v>141</v>
      </c>
      <c r="D162" s="2" t="s">
        <v>1102</v>
      </c>
      <c r="E162" s="2" t="s">
        <v>587</v>
      </c>
      <c r="F162" s="2" t="s">
        <v>1103</v>
      </c>
      <c r="H162" s="3" t="s">
        <v>1104</v>
      </c>
      <c r="I162" s="2" t="str">
        <f aca="false">CONCATENATE("http://www.wikidata.org/entity/",H162)</f>
        <v>http://www.wikidata.org/entity/Q2985084</v>
      </c>
      <c r="J162" s="3"/>
      <c r="L162" s="3"/>
      <c r="N162" s="3" t="n">
        <v>1203323581</v>
      </c>
      <c r="O162" s="2" t="str">
        <f aca="false">CONCATENATE("https://d-nb.info/gnd/",N162)</f>
        <v>https://d-nb.info/gnd/1203323581</v>
      </c>
      <c r="P162" s="3"/>
      <c r="R162" s="2" t="s">
        <v>1105</v>
      </c>
      <c r="S162" s="2" t="s">
        <v>1106</v>
      </c>
      <c r="X162" s="2" t="n">
        <v>0</v>
      </c>
      <c r="Y162" s="2" t="n">
        <v>1</v>
      </c>
      <c r="AG162" s="4"/>
    </row>
    <row r="163" s="2" customFormat="true" ht="12.8" hidden="false" customHeight="false" outlineLevel="0" collapsed="false">
      <c r="A163" s="1" t="s">
        <v>1107</v>
      </c>
      <c r="B163" s="2" t="n">
        <v>150</v>
      </c>
      <c r="C163" s="2" t="n">
        <v>141</v>
      </c>
      <c r="D163" s="2" t="s">
        <v>1108</v>
      </c>
      <c r="E163" s="2" t="s">
        <v>1109</v>
      </c>
      <c r="F163" s="2" t="s">
        <v>1110</v>
      </c>
      <c r="H163" s="3" t="s">
        <v>1111</v>
      </c>
      <c r="I163" s="2" t="str">
        <f aca="false">CONCATENATE("http://www.wikidata.org/entity/",H163)</f>
        <v>http://www.wikidata.org/entity/Q115471588</v>
      </c>
      <c r="J163" s="3"/>
      <c r="L163" s="3"/>
      <c r="N163" s="3"/>
      <c r="P163" s="3"/>
      <c r="R163" s="2" t="s">
        <v>1112</v>
      </c>
      <c r="S163" s="2" t="s">
        <v>1113</v>
      </c>
      <c r="X163" s="2" t="n">
        <v>0</v>
      </c>
      <c r="Y163" s="2" t="n">
        <v>1</v>
      </c>
      <c r="AG163" s="4"/>
    </row>
    <row r="164" s="2" customFormat="true" ht="12.8" hidden="false" customHeight="false" outlineLevel="0" collapsed="false">
      <c r="A164" s="1" t="s">
        <v>1114</v>
      </c>
      <c r="B164" s="2" t="n">
        <v>151</v>
      </c>
      <c r="C164" s="2" t="n">
        <v>141</v>
      </c>
      <c r="D164" s="2" t="s">
        <v>1115</v>
      </c>
      <c r="E164" s="2" t="s">
        <v>587</v>
      </c>
      <c r="F164" s="2" t="s">
        <v>1116</v>
      </c>
      <c r="H164" s="3" t="s">
        <v>1117</v>
      </c>
      <c r="I164" s="2" t="str">
        <f aca="false">CONCATENATE("http://www.wikidata.org/entity/",H164)</f>
        <v>http://www.wikidata.org/entity/Q64596595</v>
      </c>
      <c r="J164" s="3"/>
      <c r="L164" s="3"/>
      <c r="N164" s="3"/>
      <c r="P164" s="3"/>
      <c r="R164" s="2" t="s">
        <v>1118</v>
      </c>
      <c r="S164" s="2" t="s">
        <v>1119</v>
      </c>
      <c r="X164" s="2" t="n">
        <v>0</v>
      </c>
      <c r="Y164" s="2" t="n">
        <v>1</v>
      </c>
      <c r="AG164" s="4"/>
    </row>
    <row r="165" s="2" customFormat="true" ht="12.8" hidden="false" customHeight="false" outlineLevel="0" collapsed="false">
      <c r="A165" s="1" t="s">
        <v>1120</v>
      </c>
      <c r="B165" s="2" t="n">
        <v>152</v>
      </c>
      <c r="C165" s="2" t="n">
        <v>141</v>
      </c>
      <c r="D165" s="2" t="s">
        <v>1121</v>
      </c>
      <c r="E165" s="2" t="s">
        <v>587</v>
      </c>
      <c r="F165" s="2" t="s">
        <v>1122</v>
      </c>
      <c r="H165" s="3" t="s">
        <v>1123</v>
      </c>
      <c r="I165" s="2" t="str">
        <f aca="false">CONCATENATE("http://www.wikidata.org/entity/",H165)</f>
        <v>http://www.wikidata.org/entity/Q19191604</v>
      </c>
      <c r="J165" s="3"/>
      <c r="L165" s="3"/>
      <c r="N165" s="3"/>
      <c r="P165" s="3"/>
      <c r="R165" s="2" t="s">
        <v>1124</v>
      </c>
      <c r="S165" s="2" t="s">
        <v>1125</v>
      </c>
      <c r="X165" s="2" t="n">
        <v>0</v>
      </c>
      <c r="Y165" s="2" t="n">
        <v>1</v>
      </c>
      <c r="AG165" s="4"/>
    </row>
    <row r="166" s="2" customFormat="true" ht="12.8" hidden="false" customHeight="false" outlineLevel="0" collapsed="false">
      <c r="A166" s="1" t="s">
        <v>1126</v>
      </c>
      <c r="B166" s="2" t="n">
        <v>153</v>
      </c>
      <c r="C166" s="2" t="n">
        <v>152</v>
      </c>
      <c r="D166" s="2" t="s">
        <v>1127</v>
      </c>
      <c r="E166" s="2" t="s">
        <v>587</v>
      </c>
      <c r="F166" s="2" t="s">
        <v>1128</v>
      </c>
      <c r="H166" s="3" t="s">
        <v>1129</v>
      </c>
      <c r="I166" s="2" t="str">
        <f aca="false">CONCATENATE("http://www.wikidata.org/entity/",H166)</f>
        <v>http://www.wikidata.org/entity/Q207338</v>
      </c>
      <c r="J166" s="3"/>
      <c r="L166" s="3"/>
      <c r="N166" s="3"/>
      <c r="P166" s="3"/>
      <c r="R166" s="2" t="s">
        <v>1130</v>
      </c>
      <c r="S166" s="2" t="s">
        <v>1131</v>
      </c>
      <c r="X166" s="2" t="n">
        <v>0</v>
      </c>
      <c r="Y166" s="2" t="n">
        <v>1</v>
      </c>
      <c r="AG166" s="4"/>
    </row>
    <row r="167" s="2" customFormat="true" ht="12.8" hidden="false" customHeight="false" outlineLevel="0" collapsed="false">
      <c r="A167" s="1" t="s">
        <v>1132</v>
      </c>
      <c r="B167" s="2" t="n">
        <v>154</v>
      </c>
      <c r="C167" s="2" t="n">
        <v>141</v>
      </c>
      <c r="D167" s="2" t="s">
        <v>1133</v>
      </c>
      <c r="E167" s="2" t="s">
        <v>587</v>
      </c>
      <c r="F167" s="2" t="s">
        <v>1134</v>
      </c>
      <c r="H167" s="3" t="s">
        <v>1135</v>
      </c>
      <c r="I167" s="2" t="str">
        <f aca="false">CONCATENATE("http://www.wikidata.org/entity/",H167)</f>
        <v>http://www.wikidata.org/entity/Q42998</v>
      </c>
      <c r="J167" s="3"/>
      <c r="L167" s="3"/>
      <c r="N167" s="3" t="s">
        <v>1136</v>
      </c>
      <c r="O167" s="2" t="str">
        <f aca="false">CONCATENATE("https://d-nb.info/gnd/",N167)</f>
        <v>https://d-nb.info/gnd/4172708-3</v>
      </c>
      <c r="P167" s="3" t="n">
        <v>300205073</v>
      </c>
      <c r="Q167" s="2" t="str">
        <f aca="false">CONCATENATE("https://vocab.getty.edu/aat/",P167)</f>
        <v>https://vocab.getty.edu/aat/300205073</v>
      </c>
      <c r="R167" s="2" t="s">
        <v>1137</v>
      </c>
      <c r="S167" s="2" t="s">
        <v>1138</v>
      </c>
      <c r="X167" s="2" t="n">
        <v>0</v>
      </c>
      <c r="Y167" s="2" t="n">
        <v>1</v>
      </c>
      <c r="AG167" s="4"/>
    </row>
    <row r="168" s="2" customFormat="true" ht="12.8" hidden="false" customHeight="false" outlineLevel="0" collapsed="false">
      <c r="A168" s="1" t="s">
        <v>1139</v>
      </c>
      <c r="B168" s="2" t="n">
        <v>155</v>
      </c>
      <c r="C168" s="2" t="n">
        <v>154</v>
      </c>
      <c r="D168" s="2" t="s">
        <v>1140</v>
      </c>
      <c r="F168" s="2" t="s">
        <v>1141</v>
      </c>
      <c r="G168" s="2" t="s">
        <v>1142</v>
      </c>
      <c r="H168" s="3" t="s">
        <v>1143</v>
      </c>
      <c r="I168" s="2" t="str">
        <f aca="false">CONCATENATE("http://www.wikidata.org/entity/",H168)</f>
        <v>http://www.wikidata.org/entity/Q881942</v>
      </c>
      <c r="J168" s="3"/>
      <c r="L168" s="3"/>
      <c r="N168" s="3" t="s">
        <v>1144</v>
      </c>
      <c r="O168" s="2" t="str">
        <f aca="false">CONCATENATE("https://d-nb.info/gnd/",N168)</f>
        <v>https://d-nb.info/gnd/4112784-5</v>
      </c>
      <c r="P168" s="3"/>
      <c r="R168" s="2" t="s">
        <v>1145</v>
      </c>
      <c r="S168" s="2" t="s">
        <v>1146</v>
      </c>
      <c r="X168" s="2" t="n">
        <v>0</v>
      </c>
      <c r="Y168" s="2" t="n">
        <v>1</v>
      </c>
      <c r="AG168" s="4"/>
    </row>
    <row r="169" s="2" customFormat="true" ht="12.8" hidden="false" customHeight="false" outlineLevel="0" collapsed="false">
      <c r="A169" s="1" t="s">
        <v>1147</v>
      </c>
      <c r="B169" s="2" t="n">
        <v>156</v>
      </c>
      <c r="C169" s="2" t="n">
        <v>154</v>
      </c>
      <c r="D169" s="2" t="s">
        <v>1148</v>
      </c>
      <c r="E169" s="2" t="s">
        <v>587</v>
      </c>
      <c r="F169" s="2" t="s">
        <v>1149</v>
      </c>
      <c r="H169" s="3" t="s">
        <v>1150</v>
      </c>
      <c r="I169" s="2" t="str">
        <f aca="false">CONCATENATE("http://www.wikidata.org/entity/",H169)</f>
        <v>http://www.wikidata.org/entity/Q1078286</v>
      </c>
      <c r="J169" s="3"/>
      <c r="L169" s="3"/>
      <c r="N169" s="3"/>
      <c r="P169" s="3"/>
      <c r="R169" s="2" t="s">
        <v>1151</v>
      </c>
      <c r="S169" s="2" t="s">
        <v>1152</v>
      </c>
      <c r="X169" s="2" t="n">
        <v>0</v>
      </c>
      <c r="Y169" s="2" t="n">
        <v>1</v>
      </c>
      <c r="AG169" s="4"/>
    </row>
    <row r="170" s="2" customFormat="true" ht="12.8" hidden="false" customHeight="false" outlineLevel="0" collapsed="false">
      <c r="A170" s="1" t="s">
        <v>1153</v>
      </c>
      <c r="B170" s="2" t="n">
        <v>157</v>
      </c>
      <c r="C170" s="2" t="n">
        <v>154</v>
      </c>
      <c r="D170" s="2" t="s">
        <v>1154</v>
      </c>
      <c r="E170" s="2" t="s">
        <v>587</v>
      </c>
      <c r="F170" s="2" t="s">
        <v>1155</v>
      </c>
      <c r="H170" s="3" t="s">
        <v>1156</v>
      </c>
      <c r="I170" s="2" t="str">
        <f aca="false">CONCATENATE("http://www.wikidata.org/entity/",H170)</f>
        <v>http://www.wikidata.org/entity/Q1090674</v>
      </c>
      <c r="J170" s="3"/>
      <c r="L170" s="3"/>
      <c r="N170" s="3" t="s">
        <v>1157</v>
      </c>
      <c r="O170" s="2" t="str">
        <f aca="false">CONCATENATE("https://d-nb.info/gnd/",N170)</f>
        <v>https://d-nb.info/gnd/4183630-3</v>
      </c>
      <c r="P170" s="3"/>
      <c r="R170" s="2" t="s">
        <v>1158</v>
      </c>
      <c r="S170" s="2" t="s">
        <v>1159</v>
      </c>
      <c r="X170" s="2" t="n">
        <v>0</v>
      </c>
      <c r="Y170" s="2" t="n">
        <v>1</v>
      </c>
      <c r="AG170" s="4"/>
    </row>
    <row r="171" s="2" customFormat="true" ht="12.8" hidden="false" customHeight="false" outlineLevel="0" collapsed="false">
      <c r="A171" s="1" t="s">
        <v>1160</v>
      </c>
      <c r="B171" s="2" t="n">
        <v>158</v>
      </c>
      <c r="C171" s="2" t="n">
        <v>141</v>
      </c>
      <c r="D171" s="2" t="s">
        <v>1161</v>
      </c>
      <c r="F171" s="2" t="s">
        <v>1162</v>
      </c>
      <c r="G171" s="2" t="s">
        <v>1163</v>
      </c>
      <c r="H171" s="3" t="s">
        <v>1164</v>
      </c>
      <c r="I171" s="2" t="str">
        <f aca="false">CONCATENATE("http://www.wikidata.org/entity/",H171)</f>
        <v>http://www.wikidata.org/entity/Q120544</v>
      </c>
      <c r="J171" s="3"/>
      <c r="L171" s="3"/>
      <c r="N171" s="3" t="s">
        <v>1165</v>
      </c>
      <c r="O171" s="2" t="str">
        <f aca="false">CONCATENATE("https://d-nb.info/gnd/",N171)</f>
        <v>https://d-nb.info/gnd/4710896-4</v>
      </c>
      <c r="P171" s="3"/>
      <c r="R171" s="2" t="s">
        <v>1166</v>
      </c>
      <c r="S171" s="2" t="s">
        <v>1167</v>
      </c>
      <c r="X171" s="2" t="n">
        <v>0</v>
      </c>
      <c r="Y171" s="2" t="n">
        <v>1</v>
      </c>
      <c r="AG171" s="4"/>
    </row>
    <row r="172" s="2" customFormat="true" ht="12.8" hidden="false" customHeight="false" outlineLevel="0" collapsed="false">
      <c r="A172" s="1" t="s">
        <v>1168</v>
      </c>
      <c r="B172" s="2" t="n">
        <v>159</v>
      </c>
      <c r="C172" s="2" t="n">
        <v>141</v>
      </c>
      <c r="D172" s="2" t="s">
        <v>1169</v>
      </c>
      <c r="E172" s="2" t="s">
        <v>587</v>
      </c>
      <c r="F172" s="2" t="s">
        <v>1170</v>
      </c>
      <c r="H172" s="3" t="s">
        <v>1171</v>
      </c>
      <c r="I172" s="2" t="str">
        <f aca="false">CONCATENATE("http://www.wikidata.org/entity/",H172)</f>
        <v>http://www.wikidata.org/entity/Q113292621</v>
      </c>
      <c r="J172" s="3"/>
      <c r="L172" s="3"/>
      <c r="N172" s="3" t="s">
        <v>1172</v>
      </c>
      <c r="O172" s="2" t="str">
        <f aca="false">CONCATENATE("https://d-nb.info/gnd/",N172)</f>
        <v>https://d-nb.info/gnd/4387977-9</v>
      </c>
      <c r="P172" s="3"/>
      <c r="R172" s="2" t="s">
        <v>1173</v>
      </c>
      <c r="S172" s="2" t="s">
        <v>1174</v>
      </c>
      <c r="X172" s="2" t="n">
        <v>0</v>
      </c>
      <c r="Y172" s="2" t="n">
        <v>1</v>
      </c>
      <c r="AG172" s="4"/>
    </row>
    <row r="173" s="2" customFormat="true" ht="12.8" hidden="false" customHeight="false" outlineLevel="0" collapsed="false">
      <c r="A173" s="1" t="s">
        <v>1175</v>
      </c>
      <c r="B173" s="2" t="n">
        <v>160</v>
      </c>
      <c r="D173" s="2" t="s">
        <v>1176</v>
      </c>
      <c r="E173" s="2" t="s">
        <v>1177</v>
      </c>
      <c r="F173" s="2" t="s">
        <v>1178</v>
      </c>
      <c r="H173" s="3" t="s">
        <v>1179</v>
      </c>
      <c r="I173" s="2" t="str">
        <f aca="false">CONCATENATE("http://www.wikidata.org/entity/",H173)</f>
        <v>http://www.wikidata.org/entity/Q639669</v>
      </c>
      <c r="J173" s="3" t="s">
        <v>1180</v>
      </c>
      <c r="K173" s="2" t="str">
        <f aca="false">CONCATENATE("https://d-nb.info/gnd/",J173)</f>
        <v>https://d-nb.info/gnd/4040841-3</v>
      </c>
      <c r="L173" s="3" t="s">
        <v>1181</v>
      </c>
      <c r="M173" s="2" t="str">
        <f aca="false">CONCATENATE("https://d-nb.info/gnd/",L173)</f>
        <v>https://d-nb.info/gnd/4170818-0</v>
      </c>
      <c r="N173" s="3"/>
      <c r="P173" s="3" t="n">
        <v>300025666</v>
      </c>
      <c r="Q173" s="2" t="str">
        <f aca="false">CONCATENATE("https://vocab.getty.edu/aat/",P173)</f>
        <v>https://vocab.getty.edu/aat/300025666</v>
      </c>
      <c r="R173" s="2" t="s">
        <v>1176</v>
      </c>
      <c r="S173" s="2" t="s">
        <v>1178</v>
      </c>
      <c r="X173" s="2" t="n">
        <v>0</v>
      </c>
      <c r="Y173" s="2" t="n">
        <v>1</v>
      </c>
      <c r="AG173" s="4"/>
    </row>
    <row r="174" s="2" customFormat="true" ht="12.8" hidden="false" customHeight="false" outlineLevel="0" collapsed="false">
      <c r="A174" s="1" t="s">
        <v>1182</v>
      </c>
      <c r="B174" s="2" t="n">
        <v>161</v>
      </c>
      <c r="D174" s="2" t="s">
        <v>1183</v>
      </c>
      <c r="E174" s="2" t="s">
        <v>1184</v>
      </c>
      <c r="F174" s="2" t="s">
        <v>1185</v>
      </c>
      <c r="H174" s="3" t="s">
        <v>1186</v>
      </c>
      <c r="I174" s="2" t="str">
        <f aca="false">CONCATENATE("http://www.wikidata.org/entity/",H174)</f>
        <v>http://www.wikidata.org/entity/Q2341443</v>
      </c>
      <c r="J174" s="3" t="s">
        <v>1187</v>
      </c>
      <c r="K174" s="2" t="str">
        <f aca="false">CONCATENATE("https://d-nb.info/gnd/",J174)</f>
        <v>https://d-nb.info/gnd/4170830-1</v>
      </c>
      <c r="L174" s="3" t="s">
        <v>1188</v>
      </c>
      <c r="M174" s="2" t="str">
        <f aca="false">CONCATENATE("https://d-nb.info/gnd/",L174)</f>
        <v>https://d-nb.info/gnd/4652280-3</v>
      </c>
      <c r="N174" s="3"/>
      <c r="P174" s="3" t="n">
        <v>300386303</v>
      </c>
      <c r="Q174" s="2" t="str">
        <f aca="false">CONCATENATE("https://vocab.getty.edu/aat/",P174)</f>
        <v>https://vocab.getty.edu/aat/300386303</v>
      </c>
      <c r="R174" s="2" t="s">
        <v>1183</v>
      </c>
      <c r="S174" s="2" t="s">
        <v>1185</v>
      </c>
      <c r="X174" s="2" t="n">
        <v>0</v>
      </c>
      <c r="Y174" s="2" t="n">
        <v>0</v>
      </c>
      <c r="AG174" s="4"/>
    </row>
    <row r="175" s="2" customFormat="true" ht="12.8" hidden="false" customHeight="false" outlineLevel="0" collapsed="false">
      <c r="A175" s="1" t="s">
        <v>1189</v>
      </c>
      <c r="B175" s="2" t="n">
        <v>162</v>
      </c>
      <c r="C175" s="2" t="n">
        <v>161</v>
      </c>
      <c r="D175" s="2" t="s">
        <v>1190</v>
      </c>
      <c r="E175" s="2" t="s">
        <v>1191</v>
      </c>
      <c r="F175" s="2" t="s">
        <v>1192</v>
      </c>
      <c r="H175" s="3" t="s">
        <v>1193</v>
      </c>
      <c r="I175" s="2" t="str">
        <f aca="false">CONCATENATE("http://www.wikidata.org/entity/",H175)</f>
        <v>http://www.wikidata.org/entity/Q762707</v>
      </c>
      <c r="J175" s="3" t="s">
        <v>1194</v>
      </c>
      <c r="K175" s="2" t="str">
        <f aca="false">CONCATENATE("https://d-nb.info/gnd/",J175)</f>
        <v>https://d-nb.info/gnd/4156341-4</v>
      </c>
      <c r="L175" s="3" t="s">
        <v>1195</v>
      </c>
      <c r="M175" s="2" t="str">
        <f aca="false">CONCATENATE("https://d-nb.info/gnd/",L175)</f>
        <v>https://d-nb.info/gnd/4647874-7</v>
      </c>
      <c r="N175" s="3"/>
      <c r="P175" s="3" t="n">
        <v>300025412</v>
      </c>
      <c r="Q175" s="2" t="str">
        <f aca="false">CONCATENATE("https://vocab.getty.edu/aat/",P175)</f>
        <v>https://vocab.getty.edu/aat/300025412</v>
      </c>
      <c r="R175" s="2" t="s">
        <v>1196</v>
      </c>
      <c r="S175" s="2" t="s">
        <v>1197</v>
      </c>
      <c r="X175" s="2" t="n">
        <v>0</v>
      </c>
      <c r="Y175" s="2" t="n">
        <v>0</v>
      </c>
      <c r="AG175" s="4"/>
    </row>
    <row r="176" s="2" customFormat="true" ht="12.8" hidden="false" customHeight="false" outlineLevel="0" collapsed="false">
      <c r="A176" s="1" t="s">
        <v>1198</v>
      </c>
      <c r="B176" s="2" t="n">
        <v>163</v>
      </c>
      <c r="C176" s="2" t="n">
        <v>161</v>
      </c>
      <c r="D176" s="2" t="s">
        <v>1199</v>
      </c>
      <c r="E176" s="2" t="s">
        <v>1200</v>
      </c>
      <c r="F176" s="2" t="s">
        <v>1201</v>
      </c>
      <c r="H176" s="3" t="s">
        <v>1202</v>
      </c>
      <c r="I176" s="2" t="str">
        <f aca="false">CONCATENATE("http://www.wikidata.org/entity/",H176)</f>
        <v>http://www.wikidata.org/entity/Q885122</v>
      </c>
      <c r="J176" s="3"/>
      <c r="L176" s="3"/>
      <c r="N176" s="3"/>
      <c r="P176" s="3"/>
      <c r="R176" s="2" t="s">
        <v>1203</v>
      </c>
      <c r="S176" s="2" t="s">
        <v>1204</v>
      </c>
      <c r="X176" s="2" t="n">
        <v>0</v>
      </c>
      <c r="Y176" s="2" t="n">
        <v>0</v>
      </c>
      <c r="AG176" s="4"/>
    </row>
    <row r="177" s="2" customFormat="true" ht="12.8" hidden="false" customHeight="false" outlineLevel="0" collapsed="false">
      <c r="A177" s="1" t="s">
        <v>1205</v>
      </c>
      <c r="B177" s="2" t="n">
        <v>164</v>
      </c>
      <c r="C177" s="2" t="n">
        <v>161</v>
      </c>
      <c r="D177" s="2" t="s">
        <v>1206</v>
      </c>
      <c r="E177" s="2" t="s">
        <v>1207</v>
      </c>
      <c r="F177" s="2" t="s">
        <v>1208</v>
      </c>
      <c r="H177" s="3" t="s">
        <v>1209</v>
      </c>
      <c r="I177" s="2" t="str">
        <f aca="false">CONCATENATE("http://www.wikidata.org/entity/",H177)</f>
        <v>http://www.wikidata.org/entity/Q1937431</v>
      </c>
      <c r="J177" s="3"/>
      <c r="L177" s="3"/>
      <c r="N177" s="3"/>
      <c r="P177" s="3" t="n">
        <v>300237243</v>
      </c>
      <c r="Q177" s="2" t="str">
        <f aca="false">CONCATENATE("https://vocab.getty.edu/aat/",P177)</f>
        <v>https://vocab.getty.edu/aat/300237243</v>
      </c>
      <c r="R177" s="2" t="s">
        <v>1210</v>
      </c>
      <c r="S177" s="2" t="s">
        <v>1211</v>
      </c>
      <c r="X177" s="2" t="n">
        <v>0</v>
      </c>
      <c r="Y177" s="2" t="n">
        <v>0</v>
      </c>
      <c r="AG177" s="4"/>
    </row>
    <row r="178" s="2" customFormat="true" ht="12.8" hidden="false" customHeight="false" outlineLevel="0" collapsed="false">
      <c r="A178" s="1" t="s">
        <v>1212</v>
      </c>
      <c r="B178" s="2" t="n">
        <v>165</v>
      </c>
      <c r="D178" s="2" t="s">
        <v>1213</v>
      </c>
      <c r="E178" s="2" t="s">
        <v>1214</v>
      </c>
      <c r="F178" s="2" t="s">
        <v>1215</v>
      </c>
      <c r="G178" s="2" t="s">
        <v>1216</v>
      </c>
      <c r="H178" s="3" t="s">
        <v>1217</v>
      </c>
      <c r="I178" s="2" t="str">
        <f aca="false">CONCATENATE("http://www.wikidata.org/entity/",H178)</f>
        <v>http://www.wikidata.org/entity/Q2675537</v>
      </c>
      <c r="J178" s="3" t="s">
        <v>1218</v>
      </c>
      <c r="K178" s="2" t="str">
        <f aca="false">CONCATENATE("https://d-nb.info/gnd/",J178)</f>
        <v>https://d-nb.info/gnd/4140880-9</v>
      </c>
      <c r="L178" s="3" t="s">
        <v>1219</v>
      </c>
      <c r="M178" s="2" t="str">
        <f aca="false">CONCATENATE("https://d-nb.info/gnd/",L178)</f>
        <v>https://d-nb.info/gnd/4395042-5</v>
      </c>
      <c r="N178" s="3"/>
      <c r="P178" s="3"/>
      <c r="R178" s="2" t="s">
        <v>1213</v>
      </c>
      <c r="S178" s="2" t="s">
        <v>1215</v>
      </c>
      <c r="X178" s="2" t="n">
        <v>0</v>
      </c>
      <c r="Y178" s="2" t="n">
        <v>0</v>
      </c>
      <c r="AG178" s="4"/>
    </row>
    <row r="179" s="2" customFormat="true" ht="12.8" hidden="false" customHeight="false" outlineLevel="0" collapsed="false">
      <c r="A179" s="1" t="s">
        <v>1220</v>
      </c>
      <c r="B179" s="2" t="n">
        <v>166</v>
      </c>
      <c r="D179" s="2" t="s">
        <v>1221</v>
      </c>
      <c r="E179" s="2" t="s">
        <v>1222</v>
      </c>
      <c r="F179" s="2" t="s">
        <v>1223</v>
      </c>
      <c r="G179" s="2" t="s">
        <v>1224</v>
      </c>
      <c r="H179" s="3" t="s">
        <v>1225</v>
      </c>
      <c r="I179" s="2" t="str">
        <f aca="false">CONCATENATE("http://www.wikidata.org/entity/",H179)</f>
        <v>http://www.wikidata.org/entity/Q183945</v>
      </c>
      <c r="J179" s="3" t="s">
        <v>1226</v>
      </c>
      <c r="K179" s="2" t="str">
        <f aca="false">CONCATENATE("https://d-nb.info/gnd/",J179)</f>
        <v>https://d-nb.info/gnd/4572889-6</v>
      </c>
      <c r="L179" s="3" t="s">
        <v>1227</v>
      </c>
      <c r="M179" s="2" t="str">
        <f aca="false">CONCATENATE("https://d-nb.info/gnd/",L179)</f>
        <v>https://d-nb.info/gnd/7540311-0</v>
      </c>
      <c r="N179" s="3"/>
      <c r="P179" s="3"/>
      <c r="R179" s="2" t="s">
        <v>1221</v>
      </c>
      <c r="S179" s="2" t="s">
        <v>1223</v>
      </c>
      <c r="X179" s="2" t="n">
        <v>0</v>
      </c>
      <c r="Y179" s="2" t="n">
        <v>1</v>
      </c>
      <c r="AG179" s="4"/>
    </row>
    <row r="180" s="2" customFormat="true" ht="12.8" hidden="false" customHeight="false" outlineLevel="0" collapsed="false">
      <c r="A180" s="1" t="s">
        <v>1228</v>
      </c>
      <c r="B180" s="2" t="n">
        <v>167</v>
      </c>
      <c r="C180" s="2" t="n">
        <v>166</v>
      </c>
      <c r="D180" s="2" t="s">
        <v>1229</v>
      </c>
      <c r="E180" s="2" t="s">
        <v>1230</v>
      </c>
      <c r="F180" s="2" t="s">
        <v>1231</v>
      </c>
      <c r="H180" s="3" t="s">
        <v>1232</v>
      </c>
      <c r="I180" s="2" t="str">
        <f aca="false">CONCATENATE("http://www.wikidata.org/entity/",H180)</f>
        <v>http://www.wikidata.org/entity/Q123107245</v>
      </c>
      <c r="J180" s="3"/>
      <c r="L180" s="3"/>
      <c r="N180" s="3"/>
      <c r="P180" s="3"/>
      <c r="R180" s="2" t="s">
        <v>1233</v>
      </c>
      <c r="S180" s="2" t="s">
        <v>1234</v>
      </c>
      <c r="X180" s="2" t="n">
        <v>0</v>
      </c>
      <c r="Y180" s="2" t="n">
        <v>0</v>
      </c>
      <c r="AG180" s="4"/>
    </row>
    <row r="181" s="2" customFormat="true" ht="12.8" hidden="false" customHeight="false" outlineLevel="0" collapsed="false">
      <c r="A181" s="1" t="s">
        <v>1235</v>
      </c>
      <c r="B181" s="2" t="n">
        <v>168</v>
      </c>
      <c r="C181" s="2" t="n">
        <v>166</v>
      </c>
      <c r="D181" s="2" t="s">
        <v>1236</v>
      </c>
      <c r="E181" s="2" t="s">
        <v>1237</v>
      </c>
      <c r="F181" s="2" t="s">
        <v>1238</v>
      </c>
      <c r="H181" s="3" t="s">
        <v>1239</v>
      </c>
      <c r="I181" s="2" t="str">
        <f aca="false">CONCATENATE("http://www.wikidata.org/entity/",H181)</f>
        <v>http://www.wikidata.org/entity/Q123110484</v>
      </c>
      <c r="J181" s="3"/>
      <c r="L181" s="3"/>
      <c r="N181" s="3"/>
      <c r="P181" s="3"/>
      <c r="R181" s="2" t="s">
        <v>1240</v>
      </c>
      <c r="S181" s="2" t="s">
        <v>1241</v>
      </c>
      <c r="X181" s="2" t="n">
        <v>0</v>
      </c>
      <c r="Y181" s="2" t="n">
        <v>0</v>
      </c>
      <c r="AG181" s="4"/>
    </row>
    <row r="182" s="2" customFormat="true" ht="12.8" hidden="false" customHeight="false" outlineLevel="0" collapsed="false">
      <c r="A182" s="1" t="s">
        <v>1242</v>
      </c>
      <c r="B182" s="2" t="n">
        <v>169</v>
      </c>
      <c r="D182" s="2" t="s">
        <v>1243</v>
      </c>
      <c r="E182" s="2" t="s">
        <v>1244</v>
      </c>
      <c r="F182" s="2" t="s">
        <v>1245</v>
      </c>
      <c r="H182" s="3" t="s">
        <v>1246</v>
      </c>
      <c r="I182" s="2" t="str">
        <f aca="false">CONCATENATE("http://www.wikidata.org/entity/",H182)</f>
        <v>http://www.wikidata.org/entity/Q14915627</v>
      </c>
      <c r="J182" s="3" t="s">
        <v>1247</v>
      </c>
      <c r="K182" s="2" t="str">
        <f aca="false">CONCATENATE("https://d-nb.info/gnd/",J182)</f>
        <v>https://d-nb.info/gnd/4170836-2</v>
      </c>
      <c r="L182" s="3" t="s">
        <v>1248</v>
      </c>
      <c r="M182" s="2" t="str">
        <f aca="false">CONCATENATE("https://d-nb.info/gnd/",L182)</f>
        <v>https://d-nb.info/gnd/4648709-8</v>
      </c>
      <c r="N182" s="3"/>
      <c r="P182" s="3" t="n">
        <v>300025563</v>
      </c>
      <c r="Q182" s="2" t="str">
        <f aca="false">CONCATENATE("https://vocab.getty.edu/aat/",P182)</f>
        <v>https://vocab.getty.edu/aat/300025563</v>
      </c>
      <c r="R182" s="2" t="s">
        <v>1243</v>
      </c>
      <c r="S182" s="2" t="s">
        <v>1245</v>
      </c>
      <c r="X182" s="2" t="n">
        <v>0</v>
      </c>
      <c r="Y182" s="2" t="n">
        <v>0</v>
      </c>
      <c r="AG182" s="4"/>
    </row>
    <row r="183" s="2" customFormat="true" ht="12.8" hidden="false" customHeight="false" outlineLevel="0" collapsed="false">
      <c r="A183" s="1" t="s">
        <v>1249</v>
      </c>
      <c r="B183" s="2" t="n">
        <v>170</v>
      </c>
      <c r="D183" s="2" t="s">
        <v>1250</v>
      </c>
      <c r="E183" s="2" t="s">
        <v>1251</v>
      </c>
      <c r="F183" s="2" t="s">
        <v>1252</v>
      </c>
      <c r="H183" s="3" t="s">
        <v>1253</v>
      </c>
      <c r="I183" s="2" t="str">
        <f aca="false">CONCATENATE("http://www.wikidata.org/entity/",H183)</f>
        <v>http://www.wikidata.org/entity/Q123097521</v>
      </c>
      <c r="J183" s="3"/>
      <c r="L183" s="3"/>
      <c r="N183" s="3"/>
      <c r="P183" s="3"/>
      <c r="R183" s="2" t="s">
        <v>1250</v>
      </c>
      <c r="S183" s="2" t="s">
        <v>1252</v>
      </c>
      <c r="X183" s="2" t="n">
        <v>0</v>
      </c>
      <c r="Y183" s="2" t="n">
        <v>0</v>
      </c>
      <c r="AG183" s="4"/>
    </row>
    <row r="184" s="2" customFormat="true" ht="12.8" hidden="false" customHeight="false" outlineLevel="0" collapsed="false">
      <c r="A184" s="1" t="s">
        <v>1254</v>
      </c>
      <c r="B184" s="2" t="n">
        <v>171</v>
      </c>
      <c r="D184" s="2" t="s">
        <v>1255</v>
      </c>
      <c r="E184" s="2" t="s">
        <v>1256</v>
      </c>
      <c r="F184" s="2" t="s">
        <v>1257</v>
      </c>
      <c r="H184" s="3" t="s">
        <v>1258</v>
      </c>
      <c r="I184" s="2" t="str">
        <f aca="false">CONCATENATE("http://www.wikidata.org/entity/",H184)</f>
        <v>http://www.wikidata.org/entity/Q61022630</v>
      </c>
      <c r="J184" s="3" t="s">
        <v>1259</v>
      </c>
      <c r="K184" s="2" t="str">
        <f aca="false">CONCATENATE("https://d-nb.info/gnd/",J184)</f>
        <v>https://d-nb.info/gnd/4043375-4</v>
      </c>
      <c r="L184" s="3" t="n">
        <v>1064772102</v>
      </c>
      <c r="M184" s="2" t="str">
        <f aca="false">CONCATENATE("https://d-nb.info/gnd/",L184)</f>
        <v>https://d-nb.info/gnd/1064772102</v>
      </c>
      <c r="N184" s="3"/>
      <c r="P184" s="3" t="n">
        <v>300236210</v>
      </c>
      <c r="Q184" s="2" t="str">
        <f aca="false">CONCATENATE("https://vocab.getty.edu/aat/",P184)</f>
        <v>https://vocab.getty.edu/aat/300236210</v>
      </c>
      <c r="R184" s="2" t="s">
        <v>1255</v>
      </c>
      <c r="S184" s="2" t="s">
        <v>1257</v>
      </c>
      <c r="X184" s="2" t="n">
        <v>0</v>
      </c>
      <c r="Y184" s="2" t="n">
        <v>0</v>
      </c>
      <c r="AG184" s="4"/>
    </row>
    <row r="185" s="2" customFormat="true" ht="12.8" hidden="false" customHeight="false" outlineLevel="0" collapsed="false">
      <c r="A185" s="1" t="s">
        <v>1260</v>
      </c>
      <c r="B185" s="2" t="n">
        <v>172</v>
      </c>
      <c r="D185" s="2" t="s">
        <v>1261</v>
      </c>
      <c r="E185" s="2" t="s">
        <v>1262</v>
      </c>
      <c r="F185" s="2" t="s">
        <v>1263</v>
      </c>
      <c r="H185" s="3" t="s">
        <v>1264</v>
      </c>
      <c r="I185" s="2" t="str">
        <f aca="false">CONCATENATE("http://www.wikidata.org/entity/",H185)</f>
        <v>http://www.wikidata.org/entity/Q10669499</v>
      </c>
      <c r="J185" s="3" t="s">
        <v>1265</v>
      </c>
      <c r="K185" s="2" t="str">
        <f aca="false">CONCATENATE("https://d-nb.info/gnd/",J185)</f>
        <v>https://d-nb.info/gnd/4168900-8</v>
      </c>
      <c r="L185" s="3" t="n">
        <v>1064772218</v>
      </c>
      <c r="M185" s="2" t="str">
        <f aca="false">CONCATENATE("https://d-nb.info/gnd/",L185)</f>
        <v>https://d-nb.info/gnd/1064772218</v>
      </c>
      <c r="N185" s="3"/>
      <c r="P185" s="3"/>
      <c r="R185" s="2" t="s">
        <v>1261</v>
      </c>
      <c r="S185" s="2" t="s">
        <v>1263</v>
      </c>
      <c r="X185" s="2" t="n">
        <v>0</v>
      </c>
      <c r="Y185" s="2" t="n">
        <v>0</v>
      </c>
      <c r="AG185" s="4"/>
    </row>
    <row r="186" s="2" customFormat="true" ht="12.8" hidden="false" customHeight="false" outlineLevel="0" collapsed="false">
      <c r="A186" s="1" t="s">
        <v>1266</v>
      </c>
      <c r="B186" s="2" t="n">
        <v>173</v>
      </c>
      <c r="D186" s="2" t="s">
        <v>1267</v>
      </c>
      <c r="E186" s="2" t="s">
        <v>1268</v>
      </c>
      <c r="F186" s="2" t="s">
        <v>1269</v>
      </c>
      <c r="H186" s="3" t="s">
        <v>1270</v>
      </c>
      <c r="I186" s="2" t="str">
        <f aca="false">CONCATENATE("http://www.wikidata.org/entity/",H186)</f>
        <v>http://www.wikidata.org/entity/Q1731155</v>
      </c>
      <c r="J186" s="3" t="s">
        <v>1271</v>
      </c>
      <c r="K186" s="2" t="str">
        <f aca="false">CONCATENATE("https://d-nb.info/gnd/",J186)</f>
        <v>https://d-nb.info/gnd/4415844-0</v>
      </c>
      <c r="L186" s="3" t="s">
        <v>1272</v>
      </c>
      <c r="M186" s="2" t="str">
        <f aca="false">CONCATENATE("https://d-nb.info/gnd/",L186)</f>
        <v>https://d-nb.info/gnd/7533633-9</v>
      </c>
      <c r="N186" s="3"/>
      <c r="P186" s="3"/>
      <c r="R186" s="2" t="s">
        <v>1267</v>
      </c>
      <c r="S186" s="2" t="s">
        <v>1269</v>
      </c>
      <c r="X186" s="2" t="n">
        <v>0</v>
      </c>
      <c r="Y186" s="2" t="n">
        <v>0</v>
      </c>
      <c r="AG186" s="4"/>
    </row>
    <row r="187" s="2" customFormat="true" ht="12.8" hidden="false" customHeight="false" outlineLevel="0" collapsed="false">
      <c r="A187" s="1" t="s">
        <v>1273</v>
      </c>
      <c r="B187" s="2" t="n">
        <v>174</v>
      </c>
      <c r="D187" s="2" t="s">
        <v>1274</v>
      </c>
      <c r="E187" s="2" t="s">
        <v>1275</v>
      </c>
      <c r="F187" s="2" t="s">
        <v>1276</v>
      </c>
      <c r="H187" s="3" t="s">
        <v>1277</v>
      </c>
      <c r="I187" s="2" t="str">
        <f aca="false">CONCATENATE("http://www.wikidata.org/entity/",H187)</f>
        <v>http://www.wikidata.org/entity/Q1225716</v>
      </c>
      <c r="J187" s="3" t="s">
        <v>1278</v>
      </c>
      <c r="K187" s="2" t="str">
        <f aca="false">CONCATENATE("https://d-nb.info/gnd/",J187)</f>
        <v>https://d-nb.info/gnd/4172846-4</v>
      </c>
      <c r="L187" s="3" t="s">
        <v>1279</v>
      </c>
      <c r="M187" s="2" t="str">
        <f aca="false">CONCATENATE("https://d-nb.info/gnd/",L187)</f>
        <v>https://d-nb.info/gnd/4564683-1</v>
      </c>
      <c r="N187" s="3"/>
      <c r="P187" s="3" t="n">
        <v>300237244</v>
      </c>
      <c r="Q187" s="2" t="str">
        <f aca="false">CONCATENATE("https://vocab.getty.edu/aat/",P187)</f>
        <v>https://vocab.getty.edu/aat/300237244</v>
      </c>
      <c r="R187" s="2" t="s">
        <v>1274</v>
      </c>
      <c r="S187" s="2" t="s">
        <v>1276</v>
      </c>
      <c r="X187" s="2" t="n">
        <v>0</v>
      </c>
      <c r="Y187" s="2" t="n">
        <v>0</v>
      </c>
      <c r="AG187" s="4"/>
    </row>
    <row r="188" s="2" customFormat="true" ht="12.8" hidden="false" customHeight="false" outlineLevel="0" collapsed="false">
      <c r="A188" s="1" t="s">
        <v>1280</v>
      </c>
      <c r="B188" s="2" t="n">
        <v>175</v>
      </c>
      <c r="D188" s="2" t="s">
        <v>1281</v>
      </c>
      <c r="E188" s="2" t="s">
        <v>1282</v>
      </c>
      <c r="F188" s="2" t="s">
        <v>1283</v>
      </c>
      <c r="G188" s="2" t="s">
        <v>1284</v>
      </c>
      <c r="H188" s="3" t="s">
        <v>1285</v>
      </c>
      <c r="I188" s="2" t="str">
        <f aca="false">CONCATENATE("http://www.wikidata.org/entity/",H188)</f>
        <v>http://www.wikidata.org/entity/Q674067</v>
      </c>
      <c r="J188" s="3" t="s">
        <v>1286</v>
      </c>
      <c r="K188" s="2" t="str">
        <f aca="false">CONCATENATE("https://d-nb.info/gnd/",J188)</f>
        <v>https://d-nb.info/gnd/4044493-4</v>
      </c>
      <c r="L188" s="3" t="s">
        <v>1286</v>
      </c>
      <c r="M188" s="2" t="str">
        <f aca="false">CONCATENATE("https://d-nb.info/gnd/",L188)</f>
        <v>https://d-nb.info/gnd/4044493-4</v>
      </c>
      <c r="N188" s="3"/>
      <c r="P188" s="3" t="n">
        <v>300343595</v>
      </c>
      <c r="Q188" s="2" t="str">
        <f aca="false">CONCATENATE("https://vocab.getty.edu/aat/",P188)</f>
        <v>https://vocab.getty.edu/aat/300343595</v>
      </c>
      <c r="R188" s="2" t="s">
        <v>1281</v>
      </c>
      <c r="S188" s="2" t="s">
        <v>1283</v>
      </c>
      <c r="X188" s="2" t="n">
        <v>0</v>
      </c>
      <c r="Y188" s="2" t="n">
        <v>1</v>
      </c>
      <c r="AG188" s="4"/>
    </row>
    <row r="189" s="2" customFormat="true" ht="12.8" hidden="false" customHeight="false" outlineLevel="0" collapsed="false">
      <c r="A189" s="1" t="s">
        <v>1287</v>
      </c>
      <c r="B189" s="2" t="n">
        <v>176</v>
      </c>
      <c r="D189" s="2" t="s">
        <v>1288</v>
      </c>
      <c r="E189" s="2" t="s">
        <v>1289</v>
      </c>
      <c r="F189" s="2" t="s">
        <v>795</v>
      </c>
      <c r="G189" s="2" t="s">
        <v>1290</v>
      </c>
      <c r="H189" s="3" t="s">
        <v>1291</v>
      </c>
      <c r="I189" s="2" t="str">
        <f aca="false">CONCATENATE("http://www.wikidata.org/entity/",H189)</f>
        <v>http://www.wikidata.org/entity/Q10774753</v>
      </c>
      <c r="J189" s="3" t="s">
        <v>1292</v>
      </c>
      <c r="K189" s="2" t="str">
        <f aca="false">CONCATENATE("https://d-nb.info/gnd/",J189)</f>
        <v>https://d-nb.info/gnd/7545699-0</v>
      </c>
      <c r="L189" s="3" t="s">
        <v>1293</v>
      </c>
      <c r="M189" s="2" t="str">
        <f aca="false">CONCATENATE("https://d-nb.info/gnd/",L189)</f>
        <v>https://d-nb.info/gnd/7545707-6</v>
      </c>
      <c r="N189" s="3"/>
      <c r="P189" s="3" t="n">
        <v>300025678</v>
      </c>
      <c r="Q189" s="2" t="str">
        <f aca="false">CONCATENATE("https://vocab.getty.edu/aat/",P189)</f>
        <v>https://vocab.getty.edu/aat/300025678</v>
      </c>
      <c r="R189" s="2" t="s">
        <v>1288</v>
      </c>
      <c r="S189" s="2" t="s">
        <v>795</v>
      </c>
      <c r="X189" s="2" t="n">
        <v>0</v>
      </c>
      <c r="Y189" s="2" t="n">
        <v>1</v>
      </c>
      <c r="AG189" s="4"/>
    </row>
    <row r="190" s="2" customFormat="true" ht="12.8" hidden="false" customHeight="false" outlineLevel="0" collapsed="false">
      <c r="A190" s="1" t="s">
        <v>1294</v>
      </c>
      <c r="B190" s="2" t="n">
        <v>177</v>
      </c>
      <c r="D190" s="2" t="s">
        <v>1295</v>
      </c>
      <c r="E190" s="2" t="s">
        <v>1296</v>
      </c>
      <c r="F190" s="2" t="s">
        <v>1297</v>
      </c>
      <c r="H190" s="3" t="s">
        <v>1298</v>
      </c>
      <c r="I190" s="2" t="str">
        <f aca="false">CONCATENATE("http://www.wikidata.org/entity/",H190)</f>
        <v>http://www.wikidata.org/entity/Q4351403</v>
      </c>
      <c r="J190" s="3" t="s">
        <v>1299</v>
      </c>
      <c r="K190" s="2" t="str">
        <f aca="false">CONCATENATE("https://d-nb.info/gnd/",J190)</f>
        <v>https://d-nb.info/gnd/7553353-4</v>
      </c>
      <c r="L190" s="3" t="s">
        <v>1300</v>
      </c>
      <c r="M190" s="2" t="str">
        <f aca="false">CONCATENATE("https://d-nb.info/gnd/",L190)</f>
        <v>https://d-nb.info/gnd/7553352-2</v>
      </c>
      <c r="N190" s="3"/>
      <c r="P190" s="3" t="n">
        <v>300235068</v>
      </c>
      <c r="Q190" s="2" t="str">
        <f aca="false">CONCATENATE("https://vocab.getty.edu/aat/",P190)</f>
        <v>https://vocab.getty.edu/aat/300235068</v>
      </c>
      <c r="R190" s="2" t="s">
        <v>1295</v>
      </c>
      <c r="S190" s="2" t="s">
        <v>1297</v>
      </c>
      <c r="X190" s="2" t="n">
        <v>0</v>
      </c>
      <c r="Y190" s="2" t="n">
        <v>1</v>
      </c>
      <c r="AG190" s="4"/>
    </row>
    <row r="191" s="2" customFormat="true" ht="12.8" hidden="false" customHeight="false" outlineLevel="0" collapsed="false">
      <c r="A191" s="1" t="s">
        <v>1301</v>
      </c>
      <c r="B191" s="2" t="n">
        <v>178</v>
      </c>
      <c r="C191" s="2" t="n">
        <v>177</v>
      </c>
      <c r="D191" s="2" t="s">
        <v>1302</v>
      </c>
      <c r="E191" s="2" t="s">
        <v>1303</v>
      </c>
      <c r="F191" s="2" t="s">
        <v>1304</v>
      </c>
      <c r="H191" s="3" t="s">
        <v>1305</v>
      </c>
      <c r="I191" s="2" t="str">
        <f aca="false">CONCATENATE("http://www.wikidata.org/entity/",H191)</f>
        <v>http://www.wikidata.org/entity/Q12795793</v>
      </c>
      <c r="J191" s="3"/>
      <c r="L191" s="3"/>
      <c r="N191" s="3"/>
      <c r="P191" s="3"/>
      <c r="R191" s="2" t="s">
        <v>1306</v>
      </c>
      <c r="S191" s="2" t="s">
        <v>1307</v>
      </c>
      <c r="X191" s="2" t="n">
        <v>0</v>
      </c>
      <c r="Y191" s="2" t="n">
        <v>1</v>
      </c>
      <c r="AG191" s="4"/>
    </row>
    <row r="192" s="2" customFormat="true" ht="12.8" hidden="false" customHeight="false" outlineLevel="0" collapsed="false">
      <c r="A192" s="1" t="s">
        <v>1308</v>
      </c>
      <c r="B192" s="2" t="n">
        <v>179</v>
      </c>
      <c r="C192" s="2" t="n">
        <v>177</v>
      </c>
      <c r="D192" s="2" t="s">
        <v>1309</v>
      </c>
      <c r="E192" s="2" t="s">
        <v>1310</v>
      </c>
      <c r="F192" s="2" t="s">
        <v>1311</v>
      </c>
      <c r="H192" s="3" t="s">
        <v>1312</v>
      </c>
      <c r="I192" s="2" t="str">
        <f aca="false">CONCATENATE("http://www.wikidata.org/entity/",H192)</f>
        <v>http://www.wikidata.org/entity/Q3528729</v>
      </c>
      <c r="J192" s="3" t="s">
        <v>1313</v>
      </c>
      <c r="K192" s="2" t="str">
        <f aca="false">CONCATENATE("https://d-nb.info/gnd/",J192)</f>
        <v>https://d-nb.info/gnd/4554341-0</v>
      </c>
      <c r="L192" s="3"/>
      <c r="N192" s="3"/>
      <c r="P192" s="3" t="n">
        <v>300235071</v>
      </c>
      <c r="Q192" s="2" t="str">
        <f aca="false">CONCATENATE("https://vocab.getty.edu/aat/",P192)</f>
        <v>https://vocab.getty.edu/aat/300235071</v>
      </c>
      <c r="R192" s="2" t="s">
        <v>1314</v>
      </c>
      <c r="S192" s="2" t="s">
        <v>1315</v>
      </c>
      <c r="X192" s="2" t="n">
        <v>0</v>
      </c>
      <c r="Y192" s="2" t="n">
        <v>1</v>
      </c>
      <c r="AG192" s="4"/>
    </row>
    <row r="193" s="2" customFormat="true" ht="12.8" hidden="false" customHeight="false" outlineLevel="0" collapsed="false">
      <c r="A193" s="1" t="s">
        <v>1316</v>
      </c>
      <c r="B193" s="2" t="n">
        <v>180</v>
      </c>
      <c r="C193" s="2" t="n">
        <v>177</v>
      </c>
      <c r="D193" s="2" t="s">
        <v>1317</v>
      </c>
      <c r="E193" s="2" t="s">
        <v>1318</v>
      </c>
      <c r="F193" s="2" t="s">
        <v>1319</v>
      </c>
      <c r="H193" s="3" t="s">
        <v>1320</v>
      </c>
      <c r="I193" s="2" t="str">
        <f aca="false">CONCATENATE("http://www.wikidata.org/entity/",H193)</f>
        <v>http://www.wikidata.org/entity/Q386854</v>
      </c>
      <c r="J193" s="3" t="s">
        <v>1321</v>
      </c>
      <c r="K193" s="2" t="str">
        <f aca="false">CONCATENATE("https://d-nb.info/gnd/",J193)</f>
        <v>https://d-nb.info/gnd/4338337-3</v>
      </c>
      <c r="L193" s="3" t="s">
        <v>1322</v>
      </c>
      <c r="M193" s="2" t="str">
        <f aca="false">CONCATENATE("https://d-nb.info/gnd/",L193)</f>
        <v>https://d-nb.info/gnd/7553273-6</v>
      </c>
      <c r="N193" s="3"/>
      <c r="P193" s="3" t="n">
        <v>300235069</v>
      </c>
      <c r="Q193" s="2" t="str">
        <f aca="false">CONCATENATE("https://vocab.getty.edu/aat/",P193)</f>
        <v>https://vocab.getty.edu/aat/300235069</v>
      </c>
      <c r="R193" s="2" t="s">
        <v>1323</v>
      </c>
      <c r="S193" s="2" t="s">
        <v>1324</v>
      </c>
      <c r="X193" s="2" t="n">
        <v>0</v>
      </c>
      <c r="Y193" s="2" t="n">
        <v>1</v>
      </c>
      <c r="AG193" s="4"/>
    </row>
    <row r="194" s="2" customFormat="true" ht="12.8" hidden="false" customHeight="false" outlineLevel="0" collapsed="false">
      <c r="A194" s="1" t="s">
        <v>1325</v>
      </c>
      <c r="B194" s="2" t="n">
        <v>181</v>
      </c>
      <c r="C194" s="2" t="n">
        <v>177</v>
      </c>
      <c r="D194" s="2" t="s">
        <v>1326</v>
      </c>
      <c r="E194" s="2" t="s">
        <v>1327</v>
      </c>
      <c r="F194" s="2" t="s">
        <v>1328</v>
      </c>
      <c r="H194" s="3" t="s">
        <v>1329</v>
      </c>
      <c r="I194" s="2" t="str">
        <f aca="false">CONCATENATE("http://www.wikidata.org/entity/",H194)</f>
        <v>http://www.wikidata.org/entity/Q21855974</v>
      </c>
      <c r="J194" s="3" t="s">
        <v>1330</v>
      </c>
      <c r="K194" s="2" t="str">
        <f aca="false">CONCATENATE("https://d-nb.info/gnd/",J194)</f>
        <v>https://d-nb.info/gnd/7553295-5</v>
      </c>
      <c r="L194" s="3" t="s">
        <v>1331</v>
      </c>
      <c r="M194" s="2" t="str">
        <f aca="false">CONCATENATE("https://d-nb.info/gnd/",L194)</f>
        <v>https://d-nb.info/gnd/7553294-3</v>
      </c>
      <c r="N194" s="3"/>
      <c r="P194" s="3"/>
      <c r="R194" s="2" t="s">
        <v>1332</v>
      </c>
      <c r="S194" s="2" t="s">
        <v>1333</v>
      </c>
      <c r="X194" s="2" t="n">
        <v>0</v>
      </c>
      <c r="Y194" s="2" t="n">
        <v>1</v>
      </c>
      <c r="AG194" s="4"/>
    </row>
    <row r="195" s="2" customFormat="true" ht="12.8" hidden="false" customHeight="false" outlineLevel="0" collapsed="false">
      <c r="A195" s="1" t="s">
        <v>1334</v>
      </c>
      <c r="B195" s="2" t="n">
        <v>182</v>
      </c>
      <c r="C195" s="2" t="n">
        <v>177</v>
      </c>
      <c r="D195" s="2" t="s">
        <v>1335</v>
      </c>
      <c r="E195" s="2" t="s">
        <v>1336</v>
      </c>
      <c r="F195" s="2" t="s">
        <v>1337</v>
      </c>
      <c r="H195" s="3" t="s">
        <v>1338</v>
      </c>
      <c r="I195" s="2" t="str">
        <f aca="false">CONCATENATE("http://www.wikidata.org/entity/",H195)</f>
        <v>http://www.wikidata.org/entity/Q66370835</v>
      </c>
      <c r="J195" s="3" t="s">
        <v>1339</v>
      </c>
      <c r="K195" s="2" t="str">
        <f aca="false">CONCATENATE("https://d-nb.info/gnd/",J195)</f>
        <v>https://d-nb.info/gnd/7553298-0</v>
      </c>
      <c r="L195" s="3" t="s">
        <v>1340</v>
      </c>
      <c r="M195" s="2" t="str">
        <f aca="false">CONCATENATE("https://d-nb.info/gnd/",L195)</f>
        <v>https://d-nb.info/gnd/7553297-9</v>
      </c>
      <c r="N195" s="3"/>
      <c r="P195" s="3"/>
      <c r="R195" s="2" t="s">
        <v>1341</v>
      </c>
      <c r="S195" s="2" t="s">
        <v>1342</v>
      </c>
      <c r="X195" s="2" t="n">
        <v>0</v>
      </c>
      <c r="Y195" s="2" t="n">
        <v>1</v>
      </c>
      <c r="AG195" s="4"/>
    </row>
    <row r="196" s="2" customFormat="true" ht="12.8" hidden="false" customHeight="false" outlineLevel="0" collapsed="false">
      <c r="A196" s="1" t="s">
        <v>1343</v>
      </c>
      <c r="B196" s="2" t="n">
        <v>183</v>
      </c>
      <c r="D196" s="2" t="s">
        <v>1344</v>
      </c>
      <c r="E196" s="2" t="s">
        <v>1345</v>
      </c>
      <c r="F196" s="2" t="s">
        <v>1346</v>
      </c>
      <c r="H196" s="3" t="s">
        <v>1347</v>
      </c>
      <c r="I196" s="2" t="str">
        <f aca="false">CONCATENATE("http://www.wikidata.org/entity/",H196)</f>
        <v>http://www.wikidata.org/entity/Q13418253</v>
      </c>
      <c r="J196" s="3" t="s">
        <v>1348</v>
      </c>
      <c r="K196" s="2" t="str">
        <f aca="false">CONCATENATE("https://d-nb.info/gnd/",J196)</f>
        <v>https://d-nb.info/gnd/4199236-2</v>
      </c>
      <c r="L196" s="3" t="s">
        <v>1349</v>
      </c>
      <c r="M196" s="2" t="str">
        <f aca="false">CONCATENATE("https://d-nb.info/gnd/",L196)</f>
        <v>https://d-nb.info/gnd/4362366-9</v>
      </c>
      <c r="N196" s="3"/>
      <c r="P196" s="3" t="n">
        <v>300025568</v>
      </c>
      <c r="Q196" s="2" t="str">
        <f aca="false">CONCATENATE("https://vocab.getty.edu/aat/",P196)</f>
        <v>https://vocab.getty.edu/aat/300025568</v>
      </c>
      <c r="R196" s="2" t="s">
        <v>1344</v>
      </c>
      <c r="S196" s="2" t="s">
        <v>1346</v>
      </c>
      <c r="X196" s="2" t="n">
        <v>0</v>
      </c>
      <c r="Y196" s="2" t="n">
        <v>0</v>
      </c>
      <c r="AG196" s="4"/>
    </row>
    <row r="197" s="2" customFormat="true" ht="12.8" hidden="false" customHeight="false" outlineLevel="0" collapsed="false">
      <c r="A197" s="1" t="s">
        <v>1350</v>
      </c>
      <c r="B197" s="2" t="n">
        <v>184</v>
      </c>
      <c r="D197" s="2" t="s">
        <v>1351</v>
      </c>
      <c r="E197" s="2" t="s">
        <v>1352</v>
      </c>
      <c r="F197" s="2" t="s">
        <v>1353</v>
      </c>
      <c r="H197" s="3" t="s">
        <v>1354</v>
      </c>
      <c r="I197" s="2" t="str">
        <f aca="false">CONCATENATE("http://www.wikidata.org/entity/",H197)</f>
        <v>http://www.wikidata.org/entity/Q4964182</v>
      </c>
      <c r="J197" s="3" t="s">
        <v>1355</v>
      </c>
      <c r="K197" s="2" t="str">
        <f aca="false">CONCATENATE("https://d-nb.info/gnd/",J197)</f>
        <v>https://d-nb.info/gnd/4045790-4</v>
      </c>
      <c r="L197" s="3" t="s">
        <v>1356</v>
      </c>
      <c r="M197" s="2" t="str">
        <f aca="false">CONCATENATE("https://d-nb.info/gnd/",L197)</f>
        <v>https://d-nb.info/gnd/4174285-0</v>
      </c>
      <c r="N197" s="3"/>
      <c r="P197" s="3" t="n">
        <v>300025569</v>
      </c>
      <c r="Q197" s="2" t="str">
        <f aca="false">CONCATENATE("https://vocab.getty.edu/aat/",P197)</f>
        <v>https://vocab.getty.edu/aat/300025569</v>
      </c>
      <c r="R197" s="2" t="s">
        <v>1351</v>
      </c>
      <c r="S197" s="2" t="s">
        <v>1353</v>
      </c>
      <c r="X197" s="2" t="n">
        <v>0</v>
      </c>
      <c r="Y197" s="2" t="n">
        <v>0</v>
      </c>
      <c r="AG197" s="4"/>
    </row>
    <row r="198" s="2" customFormat="true" ht="12.8" hidden="false" customHeight="false" outlineLevel="0" collapsed="false">
      <c r="A198" s="1" t="s">
        <v>1357</v>
      </c>
      <c r="B198" s="2" t="n">
        <v>185</v>
      </c>
      <c r="D198" s="2" t="s">
        <v>1358</v>
      </c>
      <c r="E198" s="2" t="s">
        <v>1359</v>
      </c>
      <c r="F198" s="2" t="s">
        <v>1360</v>
      </c>
      <c r="H198" s="3" t="s">
        <v>1361</v>
      </c>
      <c r="I198" s="2" t="str">
        <f aca="false">CONCATENATE("http://www.wikidata.org/entity/",H198)</f>
        <v>http://www.wikidata.org/entity/Q169470</v>
      </c>
      <c r="J198" s="3" t="s">
        <v>1362</v>
      </c>
      <c r="K198" s="2" t="str">
        <f aca="false">CONCATENATE("https://d-nb.info/gnd/",J198)</f>
        <v>https://d-nb.info/gnd/4045968-8</v>
      </c>
      <c r="L198" s="3" t="s">
        <v>1363</v>
      </c>
      <c r="M198" s="2" t="str">
        <f aca="false">CONCATENATE("https://d-nb.info/gnd/",L198)</f>
        <v>https://d-nb.info/gnd/4337175-9</v>
      </c>
      <c r="N198" s="3"/>
      <c r="P198" s="3" t="n">
        <v>300025816</v>
      </c>
      <c r="Q198" s="2" t="str">
        <f aca="false">CONCATENATE("https://vocab.getty.edu/aat/",P198)</f>
        <v>https://vocab.getty.edu/aat/300025816</v>
      </c>
      <c r="R198" s="2" t="s">
        <v>1358</v>
      </c>
      <c r="S198" s="2" t="s">
        <v>1360</v>
      </c>
      <c r="X198" s="2" t="n">
        <v>0</v>
      </c>
      <c r="Y198" s="2" t="n">
        <v>0</v>
      </c>
      <c r="AG198" s="4"/>
    </row>
    <row r="199" s="2" customFormat="true" ht="12.8" hidden="false" customHeight="false" outlineLevel="0" collapsed="false">
      <c r="A199" s="1" t="s">
        <v>1364</v>
      </c>
      <c r="B199" s="2" t="n">
        <v>186</v>
      </c>
      <c r="D199" s="2" t="s">
        <v>1365</v>
      </c>
      <c r="E199" s="2" t="s">
        <v>1366</v>
      </c>
      <c r="F199" s="2" t="s">
        <v>1367</v>
      </c>
      <c r="H199" s="3" t="s">
        <v>1368</v>
      </c>
      <c r="I199" s="2" t="str">
        <f aca="false">CONCATENATE("http://www.wikidata.org/entity/",H199)</f>
        <v>http://www.wikidata.org/entity/Q82955</v>
      </c>
      <c r="J199" s="3" t="s">
        <v>1369</v>
      </c>
      <c r="K199" s="2" t="str">
        <f aca="false">CONCATENATE("https://d-nb.info/gnd/",J199)</f>
        <v>https://d-nb.info/gnd/4046517-2</v>
      </c>
      <c r="L199" s="3" t="s">
        <v>1370</v>
      </c>
      <c r="M199" s="2" t="str">
        <f aca="false">CONCATENATE("https://d-nb.info/gnd/",L199)</f>
        <v>https://d-nb.info/gnd/4175019-6</v>
      </c>
      <c r="N199" s="3"/>
      <c r="P199" s="3" t="n">
        <v>300025474</v>
      </c>
      <c r="Q199" s="2" t="str">
        <f aca="false">CONCATENATE("https://vocab.getty.edu/aat/",P199)</f>
        <v>https://vocab.getty.edu/aat/300025474</v>
      </c>
      <c r="R199" s="2" t="s">
        <v>1365</v>
      </c>
      <c r="S199" s="2" t="s">
        <v>1367</v>
      </c>
      <c r="X199" s="2" t="n">
        <v>0</v>
      </c>
      <c r="Y199" s="2" t="n">
        <v>0</v>
      </c>
      <c r="AG199" s="4"/>
    </row>
    <row r="200" s="2" customFormat="true" ht="12.8" hidden="false" customHeight="false" outlineLevel="0" collapsed="false">
      <c r="A200" s="1" t="s">
        <v>1371</v>
      </c>
      <c r="B200" s="2" t="n">
        <v>187</v>
      </c>
      <c r="D200" s="2" t="s">
        <v>1372</v>
      </c>
      <c r="E200" s="2" t="s">
        <v>1373</v>
      </c>
      <c r="F200" s="2" t="s">
        <v>1374</v>
      </c>
      <c r="H200" s="3" t="s">
        <v>1375</v>
      </c>
      <c r="I200" s="2" t="str">
        <f aca="false">CONCATENATE("http://www.wikidata.org/entity/",H200)</f>
        <v>http://www.wikidata.org/entity/Q42603</v>
      </c>
      <c r="J200" s="3" t="s">
        <v>1376</v>
      </c>
      <c r="K200" s="2" t="str">
        <f aca="false">CONCATENATE("https://d-nb.info/gnd/",J200)</f>
        <v>https://d-nb.info/gnd/4047233-4</v>
      </c>
      <c r="L200" s="3" t="s">
        <v>1377</v>
      </c>
      <c r="M200" s="2" t="str">
        <f aca="false">CONCATENATE("https://d-nb.info/gnd/",L200)</f>
        <v>https://d-nb.info/gnd/4303385-4</v>
      </c>
      <c r="N200" s="3"/>
      <c r="P200" s="3" t="n">
        <v>300025774</v>
      </c>
      <c r="Q200" s="2" t="str">
        <f aca="false">CONCATENATE("https://vocab.getty.edu/aat/",P200)</f>
        <v>https://vocab.getty.edu/aat/300025774</v>
      </c>
      <c r="R200" s="2" t="s">
        <v>1372</v>
      </c>
      <c r="S200" s="2" t="s">
        <v>1374</v>
      </c>
      <c r="X200" s="2" t="n">
        <v>0</v>
      </c>
      <c r="Y200" s="2" t="n">
        <v>0</v>
      </c>
      <c r="AG200" s="4"/>
    </row>
    <row r="201" s="2" customFormat="true" ht="12.8" hidden="false" customHeight="false" outlineLevel="0" collapsed="false">
      <c r="A201" s="1" t="s">
        <v>1378</v>
      </c>
      <c r="B201" s="2" t="n">
        <v>188</v>
      </c>
      <c r="C201" s="2" t="n">
        <v>187</v>
      </c>
      <c r="D201" s="2" t="s">
        <v>1379</v>
      </c>
      <c r="E201" s="2" t="s">
        <v>1380</v>
      </c>
      <c r="F201" s="2" t="s">
        <v>1381</v>
      </c>
      <c r="H201" s="3" t="s">
        <v>1382</v>
      </c>
      <c r="I201" s="2" t="str">
        <f aca="false">CONCATENATE("http://www.wikidata.org/entity/",H201)</f>
        <v>http://www.wikidata.org/entity/Q955464</v>
      </c>
      <c r="J201" s="3" t="s">
        <v>1383</v>
      </c>
      <c r="K201" s="2" t="str">
        <f aca="false">CONCATENATE("https://d-nb.info/gnd/",J201)</f>
        <v>https://d-nb.info/gnd/4132592-8</v>
      </c>
      <c r="L201" s="3" t="s">
        <v>1384</v>
      </c>
      <c r="M201" s="2" t="str">
        <f aca="false">CONCATENATE("https://d-nb.info/gnd/",L201)</f>
        <v>https://d-nb.info/gnd/4174000-2</v>
      </c>
      <c r="N201" s="3"/>
      <c r="P201" s="3" t="n">
        <v>300025771</v>
      </c>
      <c r="Q201" s="2" t="str">
        <f aca="false">CONCATENATE("https://vocab.getty.edu/aat/",P201)</f>
        <v>https://vocab.getty.edu/aat/300025771</v>
      </c>
      <c r="R201" s="2" t="s">
        <v>1385</v>
      </c>
      <c r="S201" s="2" t="s">
        <v>1386</v>
      </c>
      <c r="X201" s="2" t="n">
        <v>0</v>
      </c>
      <c r="Y201" s="2" t="n">
        <v>0</v>
      </c>
      <c r="AG201" s="4"/>
    </row>
    <row r="202" s="2" customFormat="true" ht="12.8" hidden="false" customHeight="false" outlineLevel="0" collapsed="false">
      <c r="A202" s="1" t="s">
        <v>1387</v>
      </c>
      <c r="B202" s="2" t="n">
        <v>189</v>
      </c>
      <c r="C202" s="2" t="n">
        <v>187</v>
      </c>
      <c r="D202" s="2" t="s">
        <v>1388</v>
      </c>
      <c r="E202" s="2" t="s">
        <v>1389</v>
      </c>
      <c r="F202" s="2" t="s">
        <v>1390</v>
      </c>
      <c r="G202" s="2" t="s">
        <v>1391</v>
      </c>
      <c r="H202" s="3" t="s">
        <v>1392</v>
      </c>
      <c r="I202" s="2" t="str">
        <f aca="false">CONCATENATE("http://www.wikidata.org/entity/",H202)</f>
        <v>http://www.wikidata.org/entity/Q432386</v>
      </c>
      <c r="J202" s="3" t="s">
        <v>1393</v>
      </c>
      <c r="K202" s="2" t="str">
        <f aca="false">CONCATENATE("https://d-nb.info/gnd/",J202)</f>
        <v>https://d-nb.info/gnd/4130322-2</v>
      </c>
      <c r="L202" s="3" t="s">
        <v>1394</v>
      </c>
      <c r="M202" s="2" t="str">
        <f aca="false">CONCATENATE("https://d-nb.info/gnd/",L202)</f>
        <v>https://d-nb.info/gnd/4473145-0</v>
      </c>
      <c r="N202" s="3"/>
      <c r="P202" s="3" t="n">
        <v>300237357</v>
      </c>
      <c r="Q202" s="2" t="str">
        <f aca="false">CONCATENATE("https://vocab.getty.edu/aat/",P202)</f>
        <v>https://vocab.getty.edu/aat/300237357</v>
      </c>
      <c r="R202" s="2" t="s">
        <v>1395</v>
      </c>
      <c r="S202" s="2" t="s">
        <v>1396</v>
      </c>
      <c r="X202" s="2" t="n">
        <v>0</v>
      </c>
      <c r="Y202" s="2" t="n">
        <v>0</v>
      </c>
      <c r="AG202" s="4"/>
    </row>
    <row r="203" s="2" customFormat="true" ht="12.8" hidden="false" customHeight="false" outlineLevel="0" collapsed="false">
      <c r="A203" s="1" t="s">
        <v>1397</v>
      </c>
      <c r="B203" s="2" t="n">
        <v>190</v>
      </c>
      <c r="D203" s="2" t="s">
        <v>1398</v>
      </c>
      <c r="E203" s="2" t="s">
        <v>1399</v>
      </c>
      <c r="F203" s="2" t="s">
        <v>1400</v>
      </c>
      <c r="H203" s="3" t="s">
        <v>1401</v>
      </c>
      <c r="I203" s="2" t="str">
        <f aca="false">CONCATENATE("http://www.wikidata.org/entity/",H203)</f>
        <v>http://www.wikidata.org/entity/Q64492955</v>
      </c>
      <c r="J203" s="3" t="s">
        <v>1402</v>
      </c>
      <c r="K203" s="2" t="str">
        <f aca="false">CONCATENATE("https://d-nb.info/gnd/",J203)</f>
        <v>https://d-nb.info/gnd/4323666-2</v>
      </c>
      <c r="L203" s="3" t="s">
        <v>1403</v>
      </c>
      <c r="M203" s="2" t="str">
        <f aca="false">CONCATENATE("https://d-nb.info/gnd/",L203)</f>
        <v>https://d-nb.info/gnd/7540489-8</v>
      </c>
      <c r="N203" s="3"/>
      <c r="P203" s="3"/>
      <c r="R203" s="2" t="s">
        <v>1398</v>
      </c>
      <c r="S203" s="2" t="s">
        <v>1404</v>
      </c>
      <c r="X203" s="2" t="n">
        <v>0</v>
      </c>
      <c r="Y203" s="2" t="n">
        <v>0</v>
      </c>
      <c r="AG203" s="4"/>
    </row>
    <row r="204" s="2" customFormat="true" ht="12.8" hidden="false" customHeight="false" outlineLevel="0" collapsed="false">
      <c r="A204" s="1" t="s">
        <v>1405</v>
      </c>
      <c r="B204" s="2" t="n">
        <v>191</v>
      </c>
      <c r="D204" s="2" t="s">
        <v>1406</v>
      </c>
      <c r="E204" s="2" t="s">
        <v>587</v>
      </c>
      <c r="F204" s="2" t="s">
        <v>1407</v>
      </c>
      <c r="H204" s="3" t="s">
        <v>1408</v>
      </c>
      <c r="I204" s="2" t="str">
        <f aca="false">CONCATENATE("http://www.wikidata.org/entity/",H204)</f>
        <v>http://www.wikidata.org/entity/Q11396960</v>
      </c>
      <c r="J204" s="3"/>
      <c r="L204" s="3"/>
      <c r="N204" s="3"/>
      <c r="P204" s="3" t="n">
        <v>300419391</v>
      </c>
      <c r="Q204" s="2" t="str">
        <f aca="false">CONCATENATE("https://vocab.getty.edu/aat/",P204)</f>
        <v>https://vocab.getty.edu/aat/300419391</v>
      </c>
      <c r="R204" s="2" t="s">
        <v>1406</v>
      </c>
      <c r="S204" s="2" t="s">
        <v>1407</v>
      </c>
      <c r="X204" s="2" t="n">
        <v>0</v>
      </c>
      <c r="Y204" s="2" t="n">
        <v>1</v>
      </c>
      <c r="AG204" s="4"/>
    </row>
    <row r="205" s="2" customFormat="true" ht="12.8" hidden="false" customHeight="false" outlineLevel="0" collapsed="false">
      <c r="A205" s="1" t="s">
        <v>1409</v>
      </c>
      <c r="B205" s="2" t="n">
        <v>192</v>
      </c>
      <c r="D205" s="2" t="s">
        <v>1410</v>
      </c>
      <c r="E205" s="2" t="s">
        <v>1411</v>
      </c>
      <c r="F205" s="2" t="s">
        <v>1412</v>
      </c>
      <c r="H205" s="3" t="s">
        <v>1413</v>
      </c>
      <c r="I205" s="2" t="str">
        <f aca="false">CONCATENATE("http://www.wikidata.org/entity/",H205)</f>
        <v>http://www.wikidata.org/entity/Q47541952</v>
      </c>
      <c r="J205" s="3" t="s">
        <v>633</v>
      </c>
      <c r="K205" s="2" t="str">
        <f aca="false">CONCATENATE("https://d-nb.info/gnd/",J205)</f>
        <v>https://d-nb.info/gnd/4175820-1</v>
      </c>
      <c r="L205" s="3" t="s">
        <v>634</v>
      </c>
      <c r="M205" s="2" t="str">
        <f aca="false">CONCATENATE("https://d-nb.info/gnd/",L205)</f>
        <v>https://d-nb.info/gnd/4465426-1</v>
      </c>
      <c r="N205" s="3"/>
      <c r="P205" s="3" t="n">
        <v>300197742</v>
      </c>
      <c r="Q205" s="2" t="str">
        <f aca="false">CONCATENATE("https://vocab.getty.edu/aat/",P205)</f>
        <v>https://vocab.getty.edu/aat/300197742</v>
      </c>
      <c r="R205" s="2" t="s">
        <v>1410</v>
      </c>
      <c r="S205" s="2" t="s">
        <v>1412</v>
      </c>
      <c r="X205" s="2" t="n">
        <v>0</v>
      </c>
      <c r="Y205" s="2" t="n">
        <v>1</v>
      </c>
      <c r="AG205" s="4"/>
    </row>
    <row r="206" s="2" customFormat="true" ht="12.8" hidden="false" customHeight="false" outlineLevel="0" collapsed="false">
      <c r="A206" s="1" t="s">
        <v>1414</v>
      </c>
      <c r="B206" s="2" t="n">
        <v>193</v>
      </c>
      <c r="D206" s="2" t="s">
        <v>1415</v>
      </c>
      <c r="E206" s="2" t="s">
        <v>1416</v>
      </c>
      <c r="F206" s="2" t="s">
        <v>1417</v>
      </c>
      <c r="G206" s="2" t="s">
        <v>1418</v>
      </c>
      <c r="H206" s="3" t="s">
        <v>1419</v>
      </c>
      <c r="I206" s="2" t="str">
        <f aca="false">CONCATENATE("http://www.wikidata.org/entity/",H206)</f>
        <v>http://www.wikidata.org/entity/Q40348</v>
      </c>
      <c r="J206" s="3" t="s">
        <v>1420</v>
      </c>
      <c r="K206" s="2" t="str">
        <f aca="false">CONCATENATE("https://d-nb.info/gnd/",J206)</f>
        <v>https://d-nb.info/gnd/4048755-6</v>
      </c>
      <c r="L206" s="3" t="s">
        <v>1421</v>
      </c>
      <c r="M206" s="2" t="str">
        <f aca="false">CONCATENATE("https://d-nb.info/gnd/",L206)</f>
        <v>https://d-nb.info/gnd/4177191-6</v>
      </c>
      <c r="N206" s="3"/>
      <c r="P206" s="3" t="n">
        <v>300025627</v>
      </c>
      <c r="Q206" s="2" t="str">
        <f aca="false">CONCATENATE("https://vocab.getty.edu/aat/",P206)</f>
        <v>https://vocab.getty.edu/aat/300025627</v>
      </c>
      <c r="R206" s="2" t="s">
        <v>1415</v>
      </c>
      <c r="S206" s="2" t="s">
        <v>1417</v>
      </c>
      <c r="X206" s="2" t="n">
        <v>0</v>
      </c>
      <c r="Y206" s="2" t="n">
        <v>0</v>
      </c>
      <c r="AG206" s="4"/>
    </row>
    <row r="207" s="2" customFormat="true" ht="12.8" hidden="false" customHeight="false" outlineLevel="0" collapsed="false">
      <c r="A207" s="1" t="s">
        <v>1422</v>
      </c>
      <c r="B207" s="2" t="n">
        <v>194</v>
      </c>
      <c r="C207" s="2" t="n">
        <v>193</v>
      </c>
      <c r="D207" s="2" t="s">
        <v>1423</v>
      </c>
      <c r="E207" s="2" t="s">
        <v>1424</v>
      </c>
      <c r="F207" s="2" t="s">
        <v>1425</v>
      </c>
      <c r="H207" s="3" t="s">
        <v>1426</v>
      </c>
      <c r="I207" s="2" t="str">
        <f aca="false">CONCATENATE("http://www.wikidata.org/entity/",H207)</f>
        <v>http://www.wikidata.org/entity/Q189010</v>
      </c>
      <c r="J207" s="3" t="s">
        <v>1427</v>
      </c>
      <c r="K207" s="2" t="str">
        <f aca="false">CONCATENATE("https://d-nb.info/gnd/",J207)</f>
        <v>https://d-nb.info/gnd/4042660-9</v>
      </c>
      <c r="L207" s="3" t="s">
        <v>1428</v>
      </c>
      <c r="M207" s="2" t="str">
        <f aca="false">CONCATENATE("https://d-nb.info/gnd/",L207)</f>
        <v>https://d-nb.info/gnd/7634430-7</v>
      </c>
      <c r="N207" s="3"/>
      <c r="P207" s="3" t="n">
        <v>300025454</v>
      </c>
      <c r="Q207" s="2" t="str">
        <f aca="false">CONCATENATE("https://vocab.getty.edu/aat/",P207)</f>
        <v>https://vocab.getty.edu/aat/300025454</v>
      </c>
      <c r="R207" s="2" t="s">
        <v>1429</v>
      </c>
      <c r="S207" s="2" t="s">
        <v>1430</v>
      </c>
      <c r="X207" s="2" t="n">
        <v>0</v>
      </c>
      <c r="Y207" s="2" t="n">
        <v>0</v>
      </c>
      <c r="AG207" s="4"/>
    </row>
    <row r="208" s="2" customFormat="true" ht="12.8" hidden="false" customHeight="false" outlineLevel="0" collapsed="false">
      <c r="A208" s="1" t="s">
        <v>1431</v>
      </c>
      <c r="B208" s="2" t="n">
        <v>195</v>
      </c>
      <c r="D208" s="2" t="s">
        <v>1432</v>
      </c>
      <c r="E208" s="2" t="s">
        <v>1433</v>
      </c>
      <c r="F208" s="2" t="s">
        <v>1434</v>
      </c>
      <c r="H208" s="3" t="s">
        <v>1435</v>
      </c>
      <c r="I208" s="2" t="str">
        <f aca="false">CONCATENATE("http://www.wikidata.org/entity/",H208)</f>
        <v>http://www.wikidata.org/entity/Q876864</v>
      </c>
      <c r="J208" s="3" t="s">
        <v>1436</v>
      </c>
      <c r="K208" s="2" t="str">
        <f aca="false">CONCATENATE("https://d-nb.info/gnd/",J208)</f>
        <v>https://d-nb.info/gnd/4177294-5</v>
      </c>
      <c r="L208" s="3" t="s">
        <v>1437</v>
      </c>
      <c r="M208" s="2" t="str">
        <f aca="false">CONCATENATE("https://d-nb.info/gnd/",L208)</f>
        <v>https://d-nb.info/gnd/4352068-6</v>
      </c>
      <c r="N208" s="3"/>
      <c r="P208" s="3"/>
      <c r="R208" s="2" t="s">
        <v>1432</v>
      </c>
      <c r="S208" s="2" t="s">
        <v>1434</v>
      </c>
      <c r="X208" s="2" t="n">
        <v>0</v>
      </c>
      <c r="Y208" s="2" t="n">
        <v>0</v>
      </c>
      <c r="AG208" s="4"/>
    </row>
    <row r="209" s="2" customFormat="true" ht="12.8" hidden="false" customHeight="false" outlineLevel="0" collapsed="false">
      <c r="A209" s="1" t="s">
        <v>1438</v>
      </c>
      <c r="B209" s="2" t="n">
        <v>196</v>
      </c>
      <c r="D209" s="2" t="s">
        <v>1439</v>
      </c>
      <c r="E209" s="2" t="s">
        <v>1440</v>
      </c>
      <c r="F209" s="2" t="s">
        <v>1441</v>
      </c>
      <c r="H209" s="3" t="s">
        <v>1442</v>
      </c>
      <c r="I209" s="2" t="str">
        <f aca="false">CONCATENATE("http://www.wikidata.org/entity/",H209)</f>
        <v>http://www.wikidata.org/entity/Q1757008</v>
      </c>
      <c r="J209" s="3" t="s">
        <v>1443</v>
      </c>
      <c r="K209" s="2" t="str">
        <f aca="false">CONCATENATE("https://d-nb.info/gnd/",J209)</f>
        <v>https://d-nb.info/gnd/4428190-0</v>
      </c>
      <c r="L209" s="3" t="s">
        <v>1444</v>
      </c>
      <c r="M209" s="2" t="str">
        <f aca="false">CONCATENATE("https://d-nb.info/gnd/",L209)</f>
        <v>https://d-nb.info/gnd/4428192-4</v>
      </c>
      <c r="N209" s="3"/>
      <c r="P209" s="3"/>
      <c r="R209" s="2" t="s">
        <v>1439</v>
      </c>
      <c r="S209" s="2" t="s">
        <v>1441</v>
      </c>
      <c r="X209" s="2" t="n">
        <v>0</v>
      </c>
      <c r="Y209" s="2" t="n">
        <v>0</v>
      </c>
      <c r="AG209" s="4"/>
    </row>
    <row r="210" s="2" customFormat="true" ht="12.8" hidden="false" customHeight="false" outlineLevel="0" collapsed="false">
      <c r="A210" s="1" t="s">
        <v>1445</v>
      </c>
      <c r="B210" s="2" t="n">
        <v>197</v>
      </c>
      <c r="D210" s="2" t="s">
        <v>1446</v>
      </c>
      <c r="E210" s="2" t="s">
        <v>1447</v>
      </c>
      <c r="F210" s="2" t="s">
        <v>1448</v>
      </c>
      <c r="H210" s="3" t="s">
        <v>1449</v>
      </c>
      <c r="I210" s="2" t="str">
        <f aca="false">CONCATENATE("http://www.wikidata.org/entity/",H210)</f>
        <v>http://www.wikidata.org/entity/Q3455803</v>
      </c>
      <c r="J210" s="3" t="s">
        <v>1450</v>
      </c>
      <c r="K210" s="2" t="str">
        <f aca="false">CONCATENATE("https://d-nb.info/gnd/",J210)</f>
        <v>https://d-nb.info/gnd/4049050-6</v>
      </c>
      <c r="L210" s="3" t="s">
        <v>1451</v>
      </c>
      <c r="M210" s="2" t="str">
        <f aca="false">CONCATENATE("https://d-nb.info/gnd/",L210)</f>
        <v>https://d-nb.info/gnd/4281949-0</v>
      </c>
      <c r="N210" s="3"/>
      <c r="P210" s="3" t="n">
        <v>300025654</v>
      </c>
      <c r="Q210" s="2" t="str">
        <f aca="false">CONCATENATE("https://vocab.getty.edu/aat/",P210)</f>
        <v>https://vocab.getty.edu/aat/300025654</v>
      </c>
      <c r="R210" s="2" t="s">
        <v>1446</v>
      </c>
      <c r="S210" s="2" t="s">
        <v>1448</v>
      </c>
      <c r="X210" s="2" t="n">
        <v>1</v>
      </c>
      <c r="Y210" s="2" t="n">
        <v>0</v>
      </c>
      <c r="AG210" s="4"/>
    </row>
    <row r="211" s="2" customFormat="true" ht="12.8" hidden="false" customHeight="false" outlineLevel="0" collapsed="false">
      <c r="A211" s="1" t="s">
        <v>1452</v>
      </c>
      <c r="B211" s="2" t="n">
        <v>198</v>
      </c>
      <c r="D211" s="2" t="s">
        <v>1453</v>
      </c>
      <c r="E211" s="2" t="s">
        <v>1454</v>
      </c>
      <c r="F211" s="2" t="s">
        <v>1455</v>
      </c>
      <c r="H211" s="3" t="s">
        <v>1456</v>
      </c>
      <c r="I211" s="2" t="str">
        <f aca="false">CONCATENATE("http://www.wikidata.org/entity/",H211)</f>
        <v>http://www.wikidata.org/entity/Q1430377</v>
      </c>
      <c r="J211" s="3" t="s">
        <v>1457</v>
      </c>
      <c r="K211" s="2" t="str">
        <f aca="false">CONCATENATE("https://d-nb.info/gnd/",J211)</f>
        <v>https://d-nb.info/gnd/4491208-0</v>
      </c>
      <c r="L211" s="3" t="s">
        <v>1458</v>
      </c>
      <c r="M211" s="2" t="str">
        <f aca="false">CONCATENATE("https://d-nb.info/gnd/",L211)</f>
        <v>https://d-nb.info/gnd/103180286X</v>
      </c>
      <c r="N211" s="3"/>
      <c r="P211" s="3"/>
      <c r="R211" s="2" t="s">
        <v>1453</v>
      </c>
      <c r="S211" s="2" t="s">
        <v>1455</v>
      </c>
      <c r="X211" s="2" t="n">
        <v>0</v>
      </c>
      <c r="Y211" s="2" t="n">
        <v>0</v>
      </c>
      <c r="AG211" s="4"/>
    </row>
    <row r="212" s="2" customFormat="true" ht="12.8" hidden="false" customHeight="false" outlineLevel="0" collapsed="false">
      <c r="A212" s="1" t="s">
        <v>1459</v>
      </c>
      <c r="B212" s="2" t="n">
        <v>199</v>
      </c>
      <c r="D212" s="2" t="s">
        <v>1460</v>
      </c>
      <c r="E212" s="2" t="s">
        <v>1461</v>
      </c>
      <c r="F212" s="2" t="s">
        <v>1462</v>
      </c>
      <c r="G212" s="2" t="s">
        <v>1463</v>
      </c>
      <c r="H212" s="3" t="s">
        <v>1464</v>
      </c>
      <c r="I212" s="2" t="str">
        <f aca="false">CONCATENATE("http://www.wikidata.org/entity/",H212)</f>
        <v>http://www.wikidata.org/entity/Q177220</v>
      </c>
      <c r="J212" s="3" t="s">
        <v>1465</v>
      </c>
      <c r="K212" s="2" t="str">
        <f aca="false">CONCATENATE("https://d-nb.info/gnd/",J212)</f>
        <v>https://d-nb.info/gnd/4124099-6</v>
      </c>
      <c r="L212" s="3" t="s">
        <v>1466</v>
      </c>
      <c r="M212" s="2" t="str">
        <f aca="false">CONCATENATE("https://d-nb.info/gnd/",L212)</f>
        <v>https://d-nb.info/gnd/4051246-0</v>
      </c>
      <c r="N212" s="3"/>
      <c r="P212" s="3" t="n">
        <v>300025684</v>
      </c>
      <c r="Q212" s="2" t="str">
        <f aca="false">CONCATENATE("https://vocab.getty.edu/aat/",P212)</f>
        <v>https://vocab.getty.edu/aat/300025684</v>
      </c>
      <c r="R212" s="2" t="s">
        <v>1460</v>
      </c>
      <c r="S212" s="2" t="s">
        <v>1462</v>
      </c>
      <c r="X212" s="2" t="n">
        <v>0</v>
      </c>
      <c r="Y212" s="2" t="n">
        <v>1</v>
      </c>
      <c r="AG212" s="4"/>
    </row>
    <row r="213" s="2" customFormat="true" ht="12.8" hidden="false" customHeight="false" outlineLevel="0" collapsed="false">
      <c r="A213" s="1" t="s">
        <v>1467</v>
      </c>
      <c r="B213" s="2" t="n">
        <v>200</v>
      </c>
      <c r="C213" s="2" t="n">
        <v>199</v>
      </c>
      <c r="D213" s="2" t="s">
        <v>1468</v>
      </c>
      <c r="E213" s="2" t="s">
        <v>1469</v>
      </c>
      <c r="F213" s="2" t="s">
        <v>1470</v>
      </c>
      <c r="H213" s="3" t="s">
        <v>1471</v>
      </c>
      <c r="I213" s="2" t="str">
        <f aca="false">CONCATENATE("http://www.wikidata.org/entity/",H213)</f>
        <v>http://www.wikidata.org/entity/Q6983813</v>
      </c>
      <c r="J213" s="3"/>
      <c r="L213" s="3" t="s">
        <v>1472</v>
      </c>
      <c r="M213" s="2" t="str">
        <f aca="false">CONCATENATE("https://d-nb.info/gnd/",L213)</f>
        <v>https://d-nb.info/gnd/4367366-1</v>
      </c>
      <c r="N213" s="3"/>
      <c r="P213" s="3"/>
      <c r="R213" s="2" t="s">
        <v>1473</v>
      </c>
      <c r="S213" s="2" t="s">
        <v>1474</v>
      </c>
      <c r="X213" s="2" t="n">
        <v>0</v>
      </c>
      <c r="Y213" s="2" t="n">
        <v>1</v>
      </c>
      <c r="AG213" s="4"/>
    </row>
    <row r="214" s="2" customFormat="true" ht="12.8" hidden="false" customHeight="false" outlineLevel="0" collapsed="false">
      <c r="A214" s="1" t="s">
        <v>1475</v>
      </c>
      <c r="B214" s="2" t="n">
        <v>201</v>
      </c>
      <c r="C214" s="2" t="n">
        <v>199</v>
      </c>
      <c r="D214" s="2" t="s">
        <v>1476</v>
      </c>
      <c r="E214" s="2" t="s">
        <v>587</v>
      </c>
      <c r="F214" s="2" t="s">
        <v>1477</v>
      </c>
      <c r="H214" s="3" t="s">
        <v>1478</v>
      </c>
      <c r="I214" s="2" t="str">
        <f aca="false">CONCATENATE("http://www.wikidata.org/entity/",H214)</f>
        <v>http://www.wikidata.org/entity/Q31687</v>
      </c>
      <c r="J214" s="3" t="s">
        <v>1479</v>
      </c>
      <c r="K214" s="2" t="str">
        <f aca="false">CONCATENATE("https://d-nb.info/gnd/",J214)</f>
        <v>https://d-nb.info/gnd/7553360-1</v>
      </c>
      <c r="L214" s="3"/>
      <c r="N214" s="3"/>
      <c r="P214" s="3"/>
      <c r="R214" s="2" t="s">
        <v>1480</v>
      </c>
      <c r="S214" s="2" t="s">
        <v>1481</v>
      </c>
      <c r="X214" s="2" t="n">
        <v>0</v>
      </c>
      <c r="Y214" s="2" t="n">
        <v>1</v>
      </c>
      <c r="AG214" s="4"/>
    </row>
    <row r="215" s="2" customFormat="true" ht="12.8" hidden="false" customHeight="false" outlineLevel="0" collapsed="false">
      <c r="A215" s="1" t="s">
        <v>1482</v>
      </c>
      <c r="B215" s="2" t="n">
        <v>202</v>
      </c>
      <c r="C215" s="2" t="n">
        <v>199</v>
      </c>
      <c r="D215" s="2" t="s">
        <v>1483</v>
      </c>
      <c r="E215" s="2" t="s">
        <v>587</v>
      </c>
      <c r="F215" s="2" t="s">
        <v>1484</v>
      </c>
      <c r="H215" s="3" t="s">
        <v>1485</v>
      </c>
      <c r="I215" s="2" t="str">
        <f aca="false">CONCATENATE("http://www.wikidata.org/entity/",H215)</f>
        <v>http://www.wikidata.org/entity/Q810480</v>
      </c>
      <c r="J215" s="3" t="s">
        <v>1486</v>
      </c>
      <c r="K215" s="2" t="str">
        <f aca="false">CONCATENATE("https://d-nb.info/gnd/",J215)</f>
        <v>https://d-nb.info/gnd/7628958-8</v>
      </c>
      <c r="L215" s="3"/>
      <c r="N215" s="3"/>
      <c r="P215" s="3"/>
      <c r="R215" s="2" t="s">
        <v>1487</v>
      </c>
      <c r="S215" s="2" t="s">
        <v>1488</v>
      </c>
      <c r="X215" s="2" t="n">
        <v>0</v>
      </c>
      <c r="Y215" s="2" t="n">
        <v>1</v>
      </c>
      <c r="AG215" s="4"/>
    </row>
    <row r="216" s="2" customFormat="true" ht="12.8" hidden="false" customHeight="false" outlineLevel="0" collapsed="false">
      <c r="A216" s="1" t="s">
        <v>1489</v>
      </c>
      <c r="B216" s="2" t="n">
        <v>203</v>
      </c>
      <c r="C216" s="2" t="n">
        <v>199</v>
      </c>
      <c r="D216" s="2" t="s">
        <v>1490</v>
      </c>
      <c r="F216" s="2" t="s">
        <v>1491</v>
      </c>
      <c r="G216" s="2" t="s">
        <v>1492</v>
      </c>
      <c r="H216" s="3" t="s">
        <v>1493</v>
      </c>
      <c r="I216" s="2" t="str">
        <f aca="false">CONCATENATE("http://www.wikidata.org/entity/",H216)</f>
        <v>http://www.wikidata.org/entity/Q98834013</v>
      </c>
      <c r="J216" s="3" t="s">
        <v>1494</v>
      </c>
      <c r="K216" s="2" t="str">
        <f aca="false">CONCATENATE("https://d-nb.info/gnd/",J216)</f>
        <v>https://d-nb.info/gnd/4362006-1</v>
      </c>
      <c r="L216" s="3"/>
      <c r="N216" s="3"/>
      <c r="P216" s="3"/>
      <c r="R216" s="2" t="s">
        <v>1495</v>
      </c>
      <c r="S216" s="2" t="s">
        <v>1496</v>
      </c>
      <c r="X216" s="2" t="n">
        <v>0</v>
      </c>
      <c r="Y216" s="2" t="n">
        <v>1</v>
      </c>
      <c r="AG216" s="4"/>
    </row>
    <row r="217" s="2" customFormat="true" ht="12.8" hidden="false" customHeight="false" outlineLevel="0" collapsed="false">
      <c r="A217" s="1" t="s">
        <v>1497</v>
      </c>
      <c r="B217" s="2" t="n">
        <v>204</v>
      </c>
      <c r="C217" s="2" t="n">
        <v>199</v>
      </c>
      <c r="D217" s="2" t="s">
        <v>1498</v>
      </c>
      <c r="E217" s="2" t="s">
        <v>1499</v>
      </c>
      <c r="F217" s="2" t="s">
        <v>1500</v>
      </c>
      <c r="H217" s="3" t="s">
        <v>1501</v>
      </c>
      <c r="I217" s="2" t="str">
        <f aca="false">CONCATENATE("http://www.wikidata.org/entity/",H217)</f>
        <v>http://www.wikidata.org/entity/Q84206977</v>
      </c>
      <c r="J217" s="3" t="s">
        <v>1502</v>
      </c>
      <c r="K217" s="2" t="str">
        <f aca="false">CONCATENATE("https://d-nb.info/gnd/",J217)</f>
        <v>https://d-nb.info/gnd/4265388-5</v>
      </c>
      <c r="L217" s="3" t="s">
        <v>1503</v>
      </c>
      <c r="M217" s="2" t="str">
        <f aca="false">CONCATENATE("https://d-nb.info/gnd/",L217)</f>
        <v>https://d-nb.info/gnd/4701423-4</v>
      </c>
      <c r="N217" s="3"/>
      <c r="P217" s="3"/>
      <c r="R217" s="2" t="s">
        <v>1504</v>
      </c>
      <c r="S217" s="2" t="s">
        <v>1505</v>
      </c>
      <c r="X217" s="2" t="n">
        <v>0</v>
      </c>
      <c r="Y217" s="2" t="n">
        <v>1</v>
      </c>
      <c r="AG217" s="4"/>
    </row>
    <row r="218" s="2" customFormat="true" ht="12.8" hidden="false" customHeight="false" outlineLevel="0" collapsed="false">
      <c r="A218" s="1" t="s">
        <v>1506</v>
      </c>
      <c r="B218" s="2" t="n">
        <v>205</v>
      </c>
      <c r="C218" s="2" t="n">
        <v>199</v>
      </c>
      <c r="D218" s="2" t="s">
        <v>1507</v>
      </c>
      <c r="E218" s="2" t="s">
        <v>587</v>
      </c>
      <c r="F218" s="2" t="s">
        <v>1508</v>
      </c>
      <c r="H218" s="3" t="s">
        <v>1509</v>
      </c>
      <c r="I218" s="2" t="str">
        <f aca="false">CONCATENATE("http://www.wikidata.org/entity/",H218)</f>
        <v>http://www.wikidata.org/entity/Q223166</v>
      </c>
      <c r="J218" s="3" t="s">
        <v>1510</v>
      </c>
      <c r="K218" s="2" t="str">
        <f aca="false">CONCATENATE("https://d-nb.info/gnd/",J218)</f>
        <v>https://d-nb.info/gnd/4710155-6</v>
      </c>
      <c r="L218" s="3"/>
      <c r="N218" s="3"/>
      <c r="P218" s="3"/>
      <c r="R218" s="2" t="s">
        <v>1511</v>
      </c>
      <c r="S218" s="2" t="s">
        <v>1512</v>
      </c>
      <c r="X218" s="2" t="n">
        <v>0</v>
      </c>
      <c r="Y218" s="2" t="n">
        <v>1</v>
      </c>
      <c r="AG218" s="4"/>
    </row>
    <row r="219" s="2" customFormat="true" ht="12.8" hidden="false" customHeight="false" outlineLevel="0" collapsed="false">
      <c r="A219" s="1" t="s">
        <v>1513</v>
      </c>
      <c r="B219" s="2" t="n">
        <v>206</v>
      </c>
      <c r="C219" s="2" t="n">
        <v>199</v>
      </c>
      <c r="D219" s="2" t="s">
        <v>1514</v>
      </c>
      <c r="E219" s="2" t="s">
        <v>587</v>
      </c>
      <c r="F219" s="2" t="s">
        <v>1515</v>
      </c>
      <c r="H219" s="3" t="s">
        <v>1516</v>
      </c>
      <c r="I219" s="2" t="str">
        <f aca="false">CONCATENATE("http://www.wikidata.org/entity/",H219)</f>
        <v>http://www.wikidata.org/entity/Q210970</v>
      </c>
      <c r="J219" s="3" t="s">
        <v>1517</v>
      </c>
      <c r="K219" s="2" t="str">
        <f aca="false">CONCATENATE("https://d-nb.info/gnd/",J219)</f>
        <v>https://d-nb.info/gnd/4163406-8</v>
      </c>
      <c r="L219" s="3"/>
      <c r="N219" s="3"/>
      <c r="P219" s="3"/>
      <c r="R219" s="2" t="s">
        <v>1518</v>
      </c>
      <c r="S219" s="2" t="s">
        <v>1519</v>
      </c>
      <c r="X219" s="2" t="n">
        <v>0</v>
      </c>
      <c r="Y219" s="2" t="n">
        <v>1</v>
      </c>
      <c r="AG219" s="4"/>
    </row>
    <row r="220" s="2" customFormat="true" ht="12.8" hidden="false" customHeight="false" outlineLevel="0" collapsed="false">
      <c r="A220" s="1" t="s">
        <v>1520</v>
      </c>
      <c r="B220" s="2" t="n">
        <v>207</v>
      </c>
      <c r="C220" s="2" t="n">
        <v>199</v>
      </c>
      <c r="D220" s="2" t="s">
        <v>1521</v>
      </c>
      <c r="E220" s="2" t="s">
        <v>1522</v>
      </c>
      <c r="F220" s="2" t="s">
        <v>1523</v>
      </c>
      <c r="H220" s="3" t="s">
        <v>1524</v>
      </c>
      <c r="I220" s="2" t="str">
        <f aca="false">CONCATENATE("http://www.wikidata.org/entity/",H220)</f>
        <v>http://www.wikidata.org/entity/Q1067977</v>
      </c>
      <c r="J220" s="3" t="s">
        <v>1525</v>
      </c>
      <c r="K220" s="2" t="str">
        <f aca="false">CONCATENATE("https://d-nb.info/gnd/",J220)</f>
        <v>https://d-nb.info/gnd/4323418-5</v>
      </c>
      <c r="L220" s="3"/>
      <c r="N220" s="3"/>
      <c r="P220" s="3" t="n">
        <v>300136390</v>
      </c>
      <c r="Q220" s="2" t="str">
        <f aca="false">CONCATENATE("https://vocab.getty.edu/aat/",P220)</f>
        <v>https://vocab.getty.edu/aat/300136390</v>
      </c>
      <c r="R220" s="2" t="s">
        <v>1526</v>
      </c>
      <c r="S220" s="2" t="s">
        <v>1527</v>
      </c>
      <c r="X220" s="2" t="n">
        <v>0</v>
      </c>
      <c r="Y220" s="2" t="n">
        <v>1</v>
      </c>
      <c r="AG220" s="4"/>
    </row>
    <row r="221" s="2" customFormat="true" ht="12.8" hidden="false" customHeight="false" outlineLevel="0" collapsed="false">
      <c r="A221" s="1" t="s">
        <v>1528</v>
      </c>
      <c r="B221" s="2" t="n">
        <v>208</v>
      </c>
      <c r="C221" s="2" t="n">
        <v>199</v>
      </c>
      <c r="D221" s="2" t="s">
        <v>1529</v>
      </c>
      <c r="E221" s="2" t="s">
        <v>587</v>
      </c>
      <c r="F221" s="2" t="s">
        <v>1530</v>
      </c>
      <c r="H221" s="3" t="s">
        <v>1531</v>
      </c>
      <c r="I221" s="2" t="str">
        <f aca="false">CONCATENATE("http://www.wikidata.org/entity/",H221)</f>
        <v>http://www.wikidata.org/entity/Q53395277</v>
      </c>
      <c r="J221" s="3"/>
      <c r="L221" s="3"/>
      <c r="N221" s="3"/>
      <c r="P221" s="3"/>
      <c r="R221" s="2" t="s">
        <v>1532</v>
      </c>
      <c r="S221" s="2" t="s">
        <v>1533</v>
      </c>
      <c r="X221" s="2" t="n">
        <v>0</v>
      </c>
      <c r="Y221" s="2" t="n">
        <v>1</v>
      </c>
      <c r="AG221" s="4"/>
    </row>
    <row r="222" s="2" customFormat="true" ht="12.8" hidden="false" customHeight="false" outlineLevel="0" collapsed="false">
      <c r="A222" s="1" t="s">
        <v>1534</v>
      </c>
      <c r="B222" s="2" t="n">
        <v>209</v>
      </c>
      <c r="C222" s="2" t="n">
        <v>199</v>
      </c>
      <c r="D222" s="2" t="s">
        <v>1535</v>
      </c>
      <c r="E222" s="2" t="s">
        <v>587</v>
      </c>
      <c r="F222" s="2" t="s">
        <v>1536</v>
      </c>
      <c r="H222" s="3" t="s">
        <v>1537</v>
      </c>
      <c r="I222" s="2" t="str">
        <f aca="false">CONCATENATE("http://www.wikidata.org/entity/",H222)</f>
        <v>http://www.wikidata.org/entity/Q1376492</v>
      </c>
      <c r="J222" s="3"/>
      <c r="L222" s="3"/>
      <c r="N222" s="3"/>
      <c r="P222" s="3"/>
      <c r="R222" s="2" t="s">
        <v>1538</v>
      </c>
      <c r="S222" s="2" t="s">
        <v>1539</v>
      </c>
      <c r="X222" s="2" t="n">
        <v>0</v>
      </c>
      <c r="Y222" s="2" t="n">
        <v>1</v>
      </c>
      <c r="AG222" s="4"/>
    </row>
    <row r="223" s="2" customFormat="true" ht="12.8" hidden="false" customHeight="false" outlineLevel="0" collapsed="false">
      <c r="A223" s="1" t="s">
        <v>1540</v>
      </c>
      <c r="B223" s="2" t="n">
        <v>210</v>
      </c>
      <c r="C223" s="2" t="n">
        <v>199</v>
      </c>
      <c r="D223" s="2" t="s">
        <v>1541</v>
      </c>
      <c r="E223" s="2" t="s">
        <v>1542</v>
      </c>
      <c r="F223" s="2" t="s">
        <v>1543</v>
      </c>
      <c r="H223" s="3" t="s">
        <v>1544</v>
      </c>
      <c r="I223" s="2" t="str">
        <f aca="false">CONCATENATE("http://www.wikidata.org/entity/",H223)</f>
        <v>http://www.wikidata.org/entity/Q108404711</v>
      </c>
      <c r="J223" s="3"/>
      <c r="L223" s="3" t="s">
        <v>1545</v>
      </c>
      <c r="M223" s="2" t="str">
        <f aca="false">CONCATENATE("https://d-nb.info/gnd/",L223)</f>
        <v>https://d-nb.info/gnd/4874092-5</v>
      </c>
      <c r="N223" s="3"/>
      <c r="P223" s="3"/>
      <c r="R223" s="2" t="s">
        <v>1546</v>
      </c>
      <c r="S223" s="2" t="s">
        <v>1547</v>
      </c>
      <c r="X223" s="2" t="n">
        <v>0</v>
      </c>
      <c r="Y223" s="2" t="n">
        <v>1</v>
      </c>
      <c r="AG223" s="4"/>
    </row>
    <row r="224" s="2" customFormat="true" ht="12.8" hidden="false" customHeight="false" outlineLevel="0" collapsed="false">
      <c r="A224" s="1" t="s">
        <v>1548</v>
      </c>
      <c r="B224" s="2" t="n">
        <v>211</v>
      </c>
      <c r="C224" s="2" t="n">
        <v>199</v>
      </c>
      <c r="D224" s="2" t="s">
        <v>1549</v>
      </c>
      <c r="E224" s="2" t="s">
        <v>1550</v>
      </c>
      <c r="F224" s="2" t="s">
        <v>1551</v>
      </c>
      <c r="H224" s="3" t="s">
        <v>1552</v>
      </c>
      <c r="I224" s="2" t="str">
        <f aca="false">CONCATENATE("http://www.wikidata.org/entity/",H224)</f>
        <v>http://www.wikidata.org/entity/Q98834068</v>
      </c>
      <c r="J224" s="3" t="s">
        <v>1553</v>
      </c>
      <c r="K224" s="2" t="str">
        <f aca="false">CONCATENATE("https://d-nb.info/gnd/",J224)</f>
        <v>https://d-nb.info/gnd/7553309-1</v>
      </c>
      <c r="L224" s="3" t="s">
        <v>1554</v>
      </c>
      <c r="M224" s="2" t="str">
        <f aca="false">CONCATENATE("https://d-nb.info/gnd/",L224)</f>
        <v>https://d-nb.info/gnd/4367362-4</v>
      </c>
      <c r="N224" s="3"/>
      <c r="P224" s="3"/>
      <c r="R224" s="2" t="s">
        <v>1555</v>
      </c>
      <c r="S224" s="2" t="s">
        <v>1556</v>
      </c>
      <c r="X224" s="2" t="n">
        <v>0</v>
      </c>
      <c r="Y224" s="2" t="n">
        <v>1</v>
      </c>
      <c r="AG224" s="4"/>
    </row>
    <row r="225" s="2" customFormat="true" ht="12.8" hidden="false" customHeight="false" outlineLevel="0" collapsed="false">
      <c r="A225" s="1" t="s">
        <v>1557</v>
      </c>
      <c r="B225" s="2" t="n">
        <v>212</v>
      </c>
      <c r="C225" s="2" t="n">
        <v>199</v>
      </c>
      <c r="D225" s="2" t="s">
        <v>1558</v>
      </c>
      <c r="E225" s="2" t="s">
        <v>1559</v>
      </c>
      <c r="F225" s="2" t="s">
        <v>1560</v>
      </c>
      <c r="H225" s="3" t="s">
        <v>1561</v>
      </c>
      <c r="I225" s="2" t="str">
        <f aca="false">CONCATENATE("http://www.wikidata.org/entity/",H225)</f>
        <v>http://www.wikidata.org/entity/Q98834046</v>
      </c>
      <c r="J225" s="3" t="s">
        <v>1562</v>
      </c>
      <c r="K225" s="2" t="str">
        <f aca="false">CONCATENATE("https://d-nb.info/gnd/",J225)</f>
        <v>https://d-nb.info/gnd/4605819-9</v>
      </c>
      <c r="L225" s="3"/>
      <c r="N225" s="3"/>
      <c r="P225" s="3"/>
      <c r="R225" s="2" t="s">
        <v>1563</v>
      </c>
      <c r="S225" s="2" t="s">
        <v>1564</v>
      </c>
      <c r="X225" s="2" t="n">
        <v>0</v>
      </c>
      <c r="Y225" s="2" t="n">
        <v>1</v>
      </c>
      <c r="AG225" s="4"/>
    </row>
    <row r="226" s="2" customFormat="true" ht="12.8" hidden="false" customHeight="false" outlineLevel="0" collapsed="false">
      <c r="A226" s="1" t="s">
        <v>1565</v>
      </c>
      <c r="B226" s="2" t="n">
        <v>213</v>
      </c>
      <c r="D226" s="2" t="s">
        <v>1566</v>
      </c>
      <c r="E226" s="2" t="s">
        <v>1567</v>
      </c>
      <c r="F226" s="2" t="s">
        <v>1568</v>
      </c>
      <c r="H226" s="3" t="s">
        <v>1569</v>
      </c>
      <c r="I226" s="2" t="str">
        <f aca="false">CONCATENATE("http://www.wikidata.org/entity/",H226)</f>
        <v>http://www.wikidata.org/entity/Q33999</v>
      </c>
      <c r="J226" s="3" t="s">
        <v>1570</v>
      </c>
      <c r="K226" s="2" t="str">
        <f aca="false">CONCATENATE("https://d-nb.info/gnd/",J226)</f>
        <v>https://d-nb.info/gnd/4052154-0</v>
      </c>
      <c r="L226" s="3" t="s">
        <v>1571</v>
      </c>
      <c r="M226" s="2" t="str">
        <f aca="false">CONCATENATE("https://d-nb.info/gnd/",L226)</f>
        <v>https://d-nb.info/gnd/4153179-6</v>
      </c>
      <c r="N226" s="3"/>
      <c r="P226" s="3" t="n">
        <v>300025658</v>
      </c>
      <c r="Q226" s="2" t="str">
        <f aca="false">CONCATENATE("https://vocab.getty.edu/aat/",P226)</f>
        <v>https://vocab.getty.edu/aat/300025658</v>
      </c>
      <c r="R226" s="2" t="s">
        <v>1566</v>
      </c>
      <c r="S226" s="2" t="s">
        <v>1568</v>
      </c>
      <c r="X226" s="2" t="n">
        <v>0</v>
      </c>
      <c r="Y226" s="2" t="n">
        <v>1</v>
      </c>
      <c r="AG226" s="4"/>
    </row>
    <row r="227" s="2" customFormat="true" ht="12.8" hidden="false" customHeight="false" outlineLevel="0" collapsed="false">
      <c r="A227" s="1" t="s">
        <v>1572</v>
      </c>
      <c r="B227" s="2" t="n">
        <v>214</v>
      </c>
      <c r="D227" s="2" t="s">
        <v>1573</v>
      </c>
      <c r="E227" s="2" t="s">
        <v>1574</v>
      </c>
      <c r="F227" s="2" t="s">
        <v>1575</v>
      </c>
      <c r="H227" s="3" t="s">
        <v>1576</v>
      </c>
      <c r="I227" s="2" t="str">
        <f aca="false">CONCATENATE("http://www.wikidata.org/entity/",H227)</f>
        <v>http://www.wikidata.org/entity/Q3479990</v>
      </c>
      <c r="J227" s="3" t="s">
        <v>1577</v>
      </c>
      <c r="K227" s="2" t="str">
        <f aca="false">CONCATENATE("https://d-nb.info/gnd/",J227)</f>
        <v>https://d-nb.info/gnd/4128287-5</v>
      </c>
      <c r="L227" s="3" t="s">
        <v>1578</v>
      </c>
      <c r="M227" s="2" t="str">
        <f aca="false">CONCATENATE("https://d-nb.info/gnd/",L227)</f>
        <v>https://d-nb.info/gnd/7539121-1</v>
      </c>
      <c r="N227" s="3"/>
      <c r="P227" s="3" t="n">
        <v>300025336</v>
      </c>
      <c r="Q227" s="2" t="str">
        <f aca="false">CONCATENATE("https://vocab.getty.edu/aat/",P227)</f>
        <v>https://vocab.getty.edu/aat/300025336</v>
      </c>
      <c r="R227" s="2" t="s">
        <v>1573</v>
      </c>
      <c r="S227" s="2" t="s">
        <v>1575</v>
      </c>
      <c r="X227" s="2" t="n">
        <v>0</v>
      </c>
      <c r="Y227" s="2" t="n">
        <v>0</v>
      </c>
      <c r="AG227" s="4"/>
    </row>
    <row r="228" s="2" customFormat="true" ht="12.8" hidden="false" customHeight="false" outlineLevel="0" collapsed="false">
      <c r="A228" s="1" t="s">
        <v>1579</v>
      </c>
      <c r="B228" s="2" t="n">
        <v>215</v>
      </c>
      <c r="D228" s="2" t="s">
        <v>1580</v>
      </c>
      <c r="F228" s="2" t="s">
        <v>1581</v>
      </c>
      <c r="G228" s="2" t="s">
        <v>1582</v>
      </c>
      <c r="H228" s="3" t="s">
        <v>1583</v>
      </c>
      <c r="I228" s="2" t="str">
        <f aca="false">CONCATENATE("http://www.wikidata.org/entity/",H228)</f>
        <v>http://www.wikidata.org/entity/Q7042855</v>
      </c>
      <c r="J228" s="3" t="s">
        <v>1584</v>
      </c>
      <c r="K228" s="2" t="str">
        <f aca="false">CONCATENATE("https://d-nb.info/gnd/",J228)</f>
        <v>https://d-nb.info/gnd/4274581-0</v>
      </c>
      <c r="L228" s="3" t="s">
        <v>1585</v>
      </c>
      <c r="M228" s="2" t="str">
        <f aca="false">CONCATENATE("https://d-nb.info/gnd/",L228)</f>
        <v>https://d-nb.info/gnd/4287610-2</v>
      </c>
      <c r="N228" s="3"/>
      <c r="P228" s="3" t="n">
        <v>300386237</v>
      </c>
      <c r="Q228" s="2" t="str">
        <f aca="false">CONCATENATE("https://vocab.getty.edu/aat/",P228)</f>
        <v>https://vocab.getty.edu/aat/300386237</v>
      </c>
      <c r="R228" s="2" t="s">
        <v>1580</v>
      </c>
      <c r="S228" s="2" t="s">
        <v>1581</v>
      </c>
      <c r="X228" s="2" t="n">
        <v>0</v>
      </c>
      <c r="Y228" s="2" t="n">
        <v>0</v>
      </c>
      <c r="AG228" s="4"/>
    </row>
    <row r="229" s="2" customFormat="true" ht="12.8" hidden="false" customHeight="false" outlineLevel="0" collapsed="false">
      <c r="A229" s="1" t="s">
        <v>1586</v>
      </c>
      <c r="B229" s="2" t="n">
        <v>216</v>
      </c>
      <c r="D229" s="2" t="s">
        <v>1587</v>
      </c>
      <c r="F229" s="2" t="s">
        <v>1588</v>
      </c>
      <c r="H229" s="3" t="s">
        <v>1589</v>
      </c>
      <c r="I229" s="2" t="str">
        <f aca="false">CONCATENATE("http://www.wikidata.org/entity/",H229)</f>
        <v>http://www.wikidata.org/entity/Q1263187</v>
      </c>
      <c r="J229" s="3"/>
      <c r="L229" s="3"/>
      <c r="N229" s="3"/>
      <c r="P229" s="3"/>
      <c r="R229" s="2" t="s">
        <v>1587</v>
      </c>
      <c r="S229" s="2" t="s">
        <v>1588</v>
      </c>
      <c r="X229" s="2" t="n">
        <v>0</v>
      </c>
      <c r="Y229" s="2" t="n">
        <v>0</v>
      </c>
      <c r="AG229" s="4"/>
    </row>
    <row r="230" s="2" customFormat="true" ht="12.8" hidden="false" customHeight="false" outlineLevel="0" collapsed="false">
      <c r="A230" s="1" t="s">
        <v>1590</v>
      </c>
      <c r="B230" s="2" t="n">
        <v>217</v>
      </c>
      <c r="D230" s="2" t="s">
        <v>1591</v>
      </c>
      <c r="E230" s="2" t="s">
        <v>1592</v>
      </c>
      <c r="F230" s="2" t="s">
        <v>1593</v>
      </c>
      <c r="G230" s="2" t="s">
        <v>1594</v>
      </c>
      <c r="H230" s="3" t="s">
        <v>1595</v>
      </c>
      <c r="I230" s="2" t="str">
        <f aca="false">CONCATENATE("http://www.wikidata.org/entity/",H230)</f>
        <v>http://www.wikidata.org/entity/Q80687</v>
      </c>
      <c r="J230" s="3" t="s">
        <v>1596</v>
      </c>
      <c r="K230" s="2" t="str">
        <f aca="false">CONCATENATE("https://d-nb.info/gnd/",J230)</f>
        <v>https://d-nb.info/gnd/4116469-6</v>
      </c>
      <c r="L230" s="3" t="s">
        <v>1597</v>
      </c>
      <c r="M230" s="2" t="str">
        <f aca="false">CONCATENATE("https://d-nb.info/gnd/",L230)</f>
        <v>https://d-nb.info/gnd/4054353-5</v>
      </c>
      <c r="N230" s="3"/>
      <c r="P230" s="3" t="n">
        <v>300250373</v>
      </c>
      <c r="Q230" s="2" t="str">
        <f aca="false">CONCATENATE("https://vocab.getty.edu/aat/",P230)</f>
        <v>https://vocab.getty.edu/aat/300250373</v>
      </c>
      <c r="R230" s="2" t="s">
        <v>1591</v>
      </c>
      <c r="S230" s="2" t="s">
        <v>1593</v>
      </c>
      <c r="X230" s="2" t="n">
        <v>0</v>
      </c>
      <c r="Y230" s="2" t="n">
        <v>0</v>
      </c>
      <c r="AG230" s="4"/>
    </row>
    <row r="231" s="2" customFormat="true" ht="12.8" hidden="false" customHeight="false" outlineLevel="0" collapsed="false">
      <c r="A231" s="1" t="s">
        <v>1598</v>
      </c>
      <c r="B231" s="2" t="n">
        <v>218</v>
      </c>
      <c r="D231" s="2" t="s">
        <v>1599</v>
      </c>
      <c r="E231" s="2" t="s">
        <v>1600</v>
      </c>
      <c r="F231" s="2" t="s">
        <v>1601</v>
      </c>
      <c r="G231" s="2" t="s">
        <v>1602</v>
      </c>
      <c r="H231" s="3" t="s">
        <v>1603</v>
      </c>
      <c r="I231" s="2" t="str">
        <f aca="false">CONCATENATE("http://www.wikidata.org/entity/",H231)</f>
        <v>http://www.wikidata.org/entity/Q987061</v>
      </c>
      <c r="J231" s="3"/>
      <c r="L231" s="3"/>
      <c r="N231" s="3"/>
      <c r="P231" s="3" t="n">
        <v>300435128</v>
      </c>
      <c r="Q231" s="2" t="str">
        <f aca="false">CONCATENATE("https://vocab.getty.edu/aat/",P231)</f>
        <v>https://vocab.getty.edu/aat/300435128</v>
      </c>
      <c r="R231" s="2" t="s">
        <v>1599</v>
      </c>
      <c r="S231" s="2" t="s">
        <v>1601</v>
      </c>
      <c r="X231" s="2" t="n">
        <v>0</v>
      </c>
      <c r="Y231" s="2" t="n">
        <v>0</v>
      </c>
      <c r="AG231" s="4"/>
    </row>
    <row r="232" s="2" customFormat="true" ht="12.8" hidden="false" customHeight="false" outlineLevel="0" collapsed="false">
      <c r="A232" s="1" t="s">
        <v>1604</v>
      </c>
      <c r="B232" s="2" t="n">
        <v>219</v>
      </c>
      <c r="D232" s="2" t="s">
        <v>1605</v>
      </c>
      <c r="E232" s="2" t="s">
        <v>1606</v>
      </c>
      <c r="F232" s="2" t="s">
        <v>1607</v>
      </c>
      <c r="H232" s="3" t="s">
        <v>1608</v>
      </c>
      <c r="I232" s="2" t="str">
        <f aca="false">CONCATENATE("http://www.wikidata.org/entity/",H232)</f>
        <v>http://www.wikidata.org/entity/Q4991371</v>
      </c>
      <c r="J232" s="3" t="s">
        <v>1609</v>
      </c>
      <c r="K232" s="2" t="str">
        <f aca="false">CONCATENATE("https://d-nb.info/gnd/",J232)</f>
        <v>https://d-nb.info/gnd/4055409-0</v>
      </c>
      <c r="L232" s="3" t="s">
        <v>1610</v>
      </c>
      <c r="M232" s="2" t="str">
        <f aca="false">CONCATENATE("https://d-nb.info/gnd/",L232)</f>
        <v>https://d-nb.info/gnd/4181751-5</v>
      </c>
      <c r="N232" s="3"/>
      <c r="P232" s="3" t="n">
        <v>300185678</v>
      </c>
      <c r="Q232" s="2" t="str">
        <f aca="false">CONCATENATE("https://vocab.getty.edu/aat/",P232)</f>
        <v>https://vocab.getty.edu/aat/300185678</v>
      </c>
      <c r="R232" s="2" t="s">
        <v>1605</v>
      </c>
      <c r="S232" s="2" t="s">
        <v>1607</v>
      </c>
      <c r="X232" s="2" t="n">
        <v>0</v>
      </c>
      <c r="Y232" s="2" t="n">
        <v>0</v>
      </c>
      <c r="AG232" s="4"/>
    </row>
    <row r="233" s="2" customFormat="true" ht="12.8" hidden="false" customHeight="false" outlineLevel="0" collapsed="false">
      <c r="A233" s="1" t="s">
        <v>1611</v>
      </c>
      <c r="B233" s="2" t="n">
        <v>220</v>
      </c>
      <c r="D233" s="2" t="s">
        <v>1612</v>
      </c>
      <c r="E233" s="2" t="s">
        <v>1613</v>
      </c>
      <c r="F233" s="2" t="s">
        <v>1614</v>
      </c>
      <c r="H233" s="3" t="s">
        <v>1615</v>
      </c>
      <c r="I233" s="2" t="str">
        <f aca="false">CONCATENATE("http://www.wikidata.org/entity/",H233)</f>
        <v>http://www.wikidata.org/entity/Q1937950</v>
      </c>
      <c r="J233" s="3" t="s">
        <v>1616</v>
      </c>
      <c r="K233" s="2" t="str">
        <f aca="false">CONCATENATE("https://d-nb.info/gnd/",J233)</f>
        <v>https://d-nb.info/gnd/7693207-2</v>
      </c>
      <c r="L233" s="3" t="s">
        <v>1616</v>
      </c>
      <c r="M233" s="2" t="str">
        <f aca="false">CONCATENATE("https://d-nb.info/gnd/",L233)</f>
        <v>https://d-nb.info/gnd/7693207-2</v>
      </c>
      <c r="N233" s="3" t="s">
        <v>1616</v>
      </c>
      <c r="O233" s="2" t="str">
        <f aca="false">CONCATENATE("https://d-nb.info/gnd/",N233)</f>
        <v>https://d-nb.info/gnd/7693207-2</v>
      </c>
      <c r="P233" s="3"/>
      <c r="R233" s="2" t="s">
        <v>1612</v>
      </c>
      <c r="S233" s="2" t="s">
        <v>1614</v>
      </c>
      <c r="X233" s="2" t="n">
        <v>0</v>
      </c>
      <c r="Y233" s="2" t="n">
        <v>0</v>
      </c>
      <c r="AG233" s="4"/>
    </row>
    <row r="234" s="2" customFormat="true" ht="12.8" hidden="false" customHeight="false" outlineLevel="0" collapsed="false">
      <c r="A234" s="1" t="s">
        <v>1617</v>
      </c>
      <c r="B234" s="2" t="n">
        <v>221</v>
      </c>
      <c r="D234" s="2" t="s">
        <v>1618</v>
      </c>
      <c r="F234" s="2" t="s">
        <v>1619</v>
      </c>
      <c r="H234" s="3" t="s">
        <v>1620</v>
      </c>
      <c r="I234" s="2" t="str">
        <f aca="false">CONCATENATE("http://www.wikidata.org/entity/",H234)</f>
        <v>http://www.wikidata.org/entity/Q381243</v>
      </c>
      <c r="J234" s="3"/>
      <c r="L234" s="3"/>
      <c r="N234" s="3"/>
      <c r="P234" s="3"/>
      <c r="R234" s="2" t="s">
        <v>1618</v>
      </c>
      <c r="S234" s="2" t="s">
        <v>1619</v>
      </c>
      <c r="X234" s="2" t="n">
        <v>0</v>
      </c>
      <c r="Y234" s="2" t="n">
        <v>0</v>
      </c>
      <c r="AG234" s="4"/>
    </row>
    <row r="235" s="2" customFormat="true" ht="12.8" hidden="false" customHeight="false" outlineLevel="0" collapsed="false">
      <c r="A235" s="1" t="s">
        <v>1621</v>
      </c>
      <c r="B235" s="2" t="n">
        <v>222</v>
      </c>
      <c r="D235" s="2" t="s">
        <v>1622</v>
      </c>
      <c r="E235" s="2" t="s">
        <v>1623</v>
      </c>
      <c r="F235" s="2" t="s">
        <v>1624</v>
      </c>
      <c r="H235" s="3" t="s">
        <v>1625</v>
      </c>
      <c r="I235" s="2" t="str">
        <f aca="false">CONCATENATE("http://www.wikidata.org/entity/",H235)</f>
        <v>http://www.wikidata.org/entity/Q152478</v>
      </c>
      <c r="J235" s="3"/>
      <c r="L235" s="3"/>
      <c r="N235" s="3"/>
      <c r="P235" s="3" t="n">
        <v>300188572</v>
      </c>
      <c r="Q235" s="2" t="str">
        <f aca="false">CONCATENATE("https://vocab.getty.edu/aat/",P235)</f>
        <v>https://vocab.getty.edu/aat/300188572</v>
      </c>
      <c r="R235" s="2" t="s">
        <v>1622</v>
      </c>
      <c r="S235" s="2" t="s">
        <v>1624</v>
      </c>
      <c r="X235" s="2" t="n">
        <v>0</v>
      </c>
      <c r="Y235" s="2" t="n">
        <v>0</v>
      </c>
      <c r="AG235" s="4"/>
    </row>
    <row r="236" s="2" customFormat="true" ht="12.8" hidden="false" customHeight="false" outlineLevel="0" collapsed="false">
      <c r="A236" s="1" t="s">
        <v>1626</v>
      </c>
      <c r="B236" s="2" t="n">
        <v>223</v>
      </c>
      <c r="D236" s="2" t="s">
        <v>1627</v>
      </c>
      <c r="E236" s="2" t="s">
        <v>1628</v>
      </c>
      <c r="F236" s="2" t="s">
        <v>1629</v>
      </c>
      <c r="H236" s="3" t="s">
        <v>1630</v>
      </c>
      <c r="I236" s="2" t="str">
        <f aca="false">CONCATENATE("http://www.wikidata.org/entity/",H236)</f>
        <v>http://www.wikidata.org/entity/Q106875005</v>
      </c>
      <c r="J236" s="3" t="s">
        <v>1631</v>
      </c>
      <c r="K236" s="2" t="str">
        <f aca="false">CONCATENATE("https://d-nb.info/gnd/",J236)</f>
        <v>https://d-nb.info/gnd/4182545-7</v>
      </c>
      <c r="L236" s="3" t="s">
        <v>1632</v>
      </c>
      <c r="M236" s="2" t="str">
        <f aca="false">CONCATENATE("https://d-nb.info/gnd/",L236)</f>
        <v>https://d-nb.info/gnd/7519889-7</v>
      </c>
      <c r="N236" s="3"/>
      <c r="P236" s="3"/>
      <c r="R236" s="2" t="s">
        <v>1627</v>
      </c>
      <c r="S236" s="2" t="s">
        <v>1629</v>
      </c>
      <c r="X236" s="2" t="n">
        <v>0</v>
      </c>
      <c r="Y236" s="2" t="n">
        <v>0</v>
      </c>
      <c r="AG236" s="4"/>
    </row>
    <row r="237" s="2" customFormat="true" ht="12.8" hidden="false" customHeight="false" outlineLevel="0" collapsed="false">
      <c r="A237" s="1" t="s">
        <v>1633</v>
      </c>
      <c r="B237" s="2" t="n">
        <v>224</v>
      </c>
      <c r="C237" s="2" t="n">
        <v>223</v>
      </c>
      <c r="D237" s="2" t="s">
        <v>1634</v>
      </c>
      <c r="E237" s="2" t="s">
        <v>1635</v>
      </c>
      <c r="F237" s="2" t="s">
        <v>1636</v>
      </c>
      <c r="H237" s="3" t="s">
        <v>1637</v>
      </c>
      <c r="I237" s="2" t="str">
        <f aca="false">CONCATENATE("http://www.wikidata.org/entity/",H237)</f>
        <v>http://www.wikidata.org/entity/Q1371925</v>
      </c>
      <c r="J237" s="3"/>
      <c r="L237" s="3"/>
      <c r="N237" s="3"/>
      <c r="P237" s="3" t="n">
        <v>300025503</v>
      </c>
      <c r="Q237" s="2" t="str">
        <f aca="false">CONCATENATE("https://vocab.getty.edu/aat/",P237)</f>
        <v>https://vocab.getty.edu/aat/300025503</v>
      </c>
      <c r="R237" s="2" t="s">
        <v>1638</v>
      </c>
      <c r="S237" s="2" t="s">
        <v>1639</v>
      </c>
      <c r="X237" s="2" t="n">
        <v>0</v>
      </c>
      <c r="Y237" s="2" t="n">
        <v>0</v>
      </c>
      <c r="AG237" s="4"/>
    </row>
    <row r="238" s="2" customFormat="true" ht="12.8" hidden="false" customHeight="false" outlineLevel="0" collapsed="false">
      <c r="A238" s="1" t="s">
        <v>1640</v>
      </c>
      <c r="B238" s="2" t="n">
        <v>225</v>
      </c>
      <c r="C238" s="2" t="n">
        <v>223</v>
      </c>
      <c r="D238" s="2" t="s">
        <v>1641</v>
      </c>
      <c r="E238" s="2" t="s">
        <v>1642</v>
      </c>
      <c r="F238" s="2" t="s">
        <v>1643</v>
      </c>
      <c r="H238" s="3" t="s">
        <v>1644</v>
      </c>
      <c r="I238" s="2" t="str">
        <f aca="false">CONCATENATE("http://www.wikidata.org/entity/",H238)</f>
        <v>http://www.wikidata.org/entity/Q23037330</v>
      </c>
      <c r="J238" s="3"/>
      <c r="L238" s="3"/>
      <c r="N238" s="3"/>
      <c r="P238" s="3"/>
      <c r="R238" s="2" t="s">
        <v>1645</v>
      </c>
      <c r="S238" s="2" t="s">
        <v>1646</v>
      </c>
      <c r="X238" s="2" t="n">
        <v>0</v>
      </c>
      <c r="Y238" s="2" t="n">
        <v>0</v>
      </c>
      <c r="AG238" s="4"/>
    </row>
    <row r="239" s="2" customFormat="true" ht="12.8" hidden="false" customHeight="false" outlineLevel="0" collapsed="false">
      <c r="A239" s="1" t="s">
        <v>1647</v>
      </c>
      <c r="B239" s="2" t="n">
        <v>226</v>
      </c>
      <c r="D239" s="2" t="s">
        <v>1648</v>
      </c>
      <c r="E239" s="2" t="s">
        <v>1649</v>
      </c>
      <c r="F239" s="2" t="s">
        <v>1650</v>
      </c>
      <c r="H239" s="3" t="s">
        <v>1651</v>
      </c>
      <c r="I239" s="2" t="str">
        <f aca="false">CONCATENATE("http://www.wikidata.org/entity/",H239)</f>
        <v>http://www.wikidata.org/entity/Q13138067</v>
      </c>
      <c r="J239" s="3"/>
      <c r="L239" s="3"/>
      <c r="N239" s="3"/>
      <c r="P239" s="3" t="n">
        <v>300234983</v>
      </c>
      <c r="Q239" s="2" t="str">
        <f aca="false">CONCATENATE("https://vocab.getty.edu/aat/",P239)</f>
        <v>https://vocab.getty.edu/aat/300234983</v>
      </c>
      <c r="R239" s="2" t="s">
        <v>1648</v>
      </c>
      <c r="S239" s="2" t="s">
        <v>1650</v>
      </c>
      <c r="X239" s="2" t="n">
        <v>0</v>
      </c>
      <c r="Y239" s="2" t="n">
        <v>1</v>
      </c>
      <c r="AG239" s="4"/>
    </row>
    <row r="240" s="2" customFormat="true" ht="12.8" hidden="false" customHeight="false" outlineLevel="0" collapsed="false">
      <c r="A240" s="1" t="s">
        <v>1652</v>
      </c>
      <c r="B240" s="2" t="n">
        <v>227</v>
      </c>
      <c r="C240" s="2" t="n">
        <v>226</v>
      </c>
      <c r="D240" s="2" t="s">
        <v>1653</v>
      </c>
      <c r="E240" s="2" t="s">
        <v>1654</v>
      </c>
      <c r="F240" s="2" t="s">
        <v>1655</v>
      </c>
      <c r="G240" s="2" t="s">
        <v>1656</v>
      </c>
      <c r="H240" s="3" t="s">
        <v>1657</v>
      </c>
      <c r="I240" s="2" t="str">
        <f aca="false">CONCATENATE("http://www.wikidata.org/entity/",H240)</f>
        <v>http://www.wikidata.org/entity/Q899758</v>
      </c>
      <c r="J240" s="3" t="s">
        <v>1658</v>
      </c>
      <c r="K240" s="2" t="str">
        <f aca="false">CONCATENATE("https://d-nb.info/gnd/",J240)</f>
        <v>https://d-nb.info/gnd/4398810-6</v>
      </c>
      <c r="L240" s="3" t="s">
        <v>1659</v>
      </c>
      <c r="M240" s="2" t="str">
        <f aca="false">CONCATENATE("https://d-nb.info/gnd/",L240)</f>
        <v>https://d-nb.info/gnd/7553282-7</v>
      </c>
      <c r="N240" s="3"/>
      <c r="P240" s="3" t="n">
        <v>300235045</v>
      </c>
      <c r="Q240" s="2" t="str">
        <f aca="false">CONCATENATE("https://vocab.getty.edu/aat/",P240)</f>
        <v>https://vocab.getty.edu/aat/300235045</v>
      </c>
      <c r="R240" s="2" t="s">
        <v>1660</v>
      </c>
      <c r="S240" s="2" t="s">
        <v>1661</v>
      </c>
      <c r="X240" s="2" t="n">
        <v>0</v>
      </c>
      <c r="Y240" s="2" t="n">
        <v>1</v>
      </c>
      <c r="AG240" s="4"/>
    </row>
    <row r="241" s="2" customFormat="true" ht="12.8" hidden="false" customHeight="false" outlineLevel="0" collapsed="false">
      <c r="A241" s="1" t="s">
        <v>1662</v>
      </c>
      <c r="B241" s="2" t="n">
        <v>228</v>
      </c>
      <c r="C241" s="2" t="n">
        <v>226</v>
      </c>
      <c r="D241" s="2" t="s">
        <v>1663</v>
      </c>
      <c r="E241" s="2" t="s">
        <v>1664</v>
      </c>
      <c r="F241" s="2" t="s">
        <v>1665</v>
      </c>
      <c r="H241" s="3" t="s">
        <v>1666</v>
      </c>
      <c r="I241" s="2" t="str">
        <f aca="false">CONCATENATE("http://www.wikidata.org/entity/",H241)</f>
        <v>http://www.wikidata.org/entity/Q13219637</v>
      </c>
      <c r="J241" s="3" t="s">
        <v>1667</v>
      </c>
      <c r="K241" s="2" t="str">
        <f aca="false">CONCATENATE("https://d-nb.info/gnd/",J241)</f>
        <v>https://d-nb.info/gnd/4188376-7</v>
      </c>
      <c r="L241" s="3" t="s">
        <v>1668</v>
      </c>
      <c r="M241" s="2" t="str">
        <f aca="false">CONCATENATE("https://d-nb.info/gnd/",L241)</f>
        <v>https://d-nb.info/gnd/4592714-5</v>
      </c>
      <c r="N241" s="3"/>
      <c r="P241" s="3" t="n">
        <v>300235047</v>
      </c>
      <c r="Q241" s="2" t="str">
        <f aca="false">CONCATENATE("https://vocab.getty.edu/aat/",P241)</f>
        <v>https://vocab.getty.edu/aat/300235047</v>
      </c>
      <c r="R241" s="2" t="s">
        <v>1669</v>
      </c>
      <c r="S241" s="2" t="s">
        <v>1670</v>
      </c>
      <c r="X241" s="2" t="n">
        <v>0</v>
      </c>
      <c r="Y241" s="2" t="n">
        <v>1</v>
      </c>
      <c r="AG241" s="4"/>
    </row>
    <row r="242" s="2" customFormat="true" ht="12.8" hidden="false" customHeight="false" outlineLevel="0" collapsed="false">
      <c r="A242" s="1" t="s">
        <v>1671</v>
      </c>
      <c r="B242" s="2" t="n">
        <v>229</v>
      </c>
      <c r="C242" s="2" t="n">
        <v>226</v>
      </c>
      <c r="D242" s="2" t="s">
        <v>1672</v>
      </c>
      <c r="E242" s="2" t="s">
        <v>1673</v>
      </c>
      <c r="F242" s="2" t="s">
        <v>1674</v>
      </c>
      <c r="G242" s="2" t="s">
        <v>1675</v>
      </c>
      <c r="H242" s="3" t="s">
        <v>1676</v>
      </c>
      <c r="I242" s="2" t="str">
        <f aca="false">CONCATENATE("http://www.wikidata.org/entity/",H242)</f>
        <v>http://www.wikidata.org/entity/Q19760296</v>
      </c>
      <c r="J242" s="3" t="s">
        <v>1677</v>
      </c>
      <c r="K242" s="2" t="str">
        <f aca="false">CONCATENATE("https://d-nb.info/gnd/",J242)</f>
        <v>https://d-nb.info/gnd/7577206-1</v>
      </c>
      <c r="L242" s="3" t="s">
        <v>1678</v>
      </c>
      <c r="M242" s="2" t="str">
        <f aca="false">CONCATENATE("https://d-nb.info/gnd/",L242)</f>
        <v>https://d-nb.info/gnd/7577207-3</v>
      </c>
      <c r="N242" s="3"/>
      <c r="P242" s="3"/>
      <c r="R242" s="2" t="s">
        <v>1679</v>
      </c>
      <c r="S242" s="2" t="s">
        <v>1680</v>
      </c>
      <c r="X242" s="2" t="n">
        <v>0</v>
      </c>
      <c r="Y242" s="2" t="n">
        <v>1</v>
      </c>
      <c r="AG242" s="4"/>
    </row>
    <row r="243" s="2" customFormat="true" ht="12.8" hidden="false" customHeight="false" outlineLevel="0" collapsed="false">
      <c r="A243" s="1" t="s">
        <v>1681</v>
      </c>
      <c r="B243" s="2" t="n">
        <v>230</v>
      </c>
      <c r="C243" s="2" t="n">
        <v>226</v>
      </c>
      <c r="D243" s="2" t="s">
        <v>1682</v>
      </c>
      <c r="E243" s="2" t="s">
        <v>1683</v>
      </c>
      <c r="F243" s="2" t="s">
        <v>1684</v>
      </c>
      <c r="H243" s="3" t="s">
        <v>1685</v>
      </c>
      <c r="I243" s="2" t="str">
        <f aca="false">CONCATENATE("http://www.wikidata.org/entity/",H243)</f>
        <v>http://www.wikidata.org/entity/Q1214796</v>
      </c>
      <c r="J243" s="3" t="s">
        <v>1686</v>
      </c>
      <c r="K243" s="2" t="str">
        <f aca="false">CONCATENATE("https://d-nb.info/gnd/",J243)</f>
        <v>https://d-nb.info/gnd/7553337-6</v>
      </c>
      <c r="L243" s="3" t="s">
        <v>1687</v>
      </c>
      <c r="M243" s="2" t="str">
        <f aca="false">CONCATENATE("https://d-nb.info/gnd/",L243)</f>
        <v>https://d-nb.info/gnd/7553336-4</v>
      </c>
      <c r="N243" s="3"/>
      <c r="P243" s="3" t="n">
        <v>300235037</v>
      </c>
      <c r="Q243" s="2" t="str">
        <f aca="false">CONCATENATE("https://vocab.getty.edu/aat/",P243)</f>
        <v>https://vocab.getty.edu/aat/300235037</v>
      </c>
      <c r="R243" s="2" t="s">
        <v>1688</v>
      </c>
      <c r="S243" s="2" t="s">
        <v>1689</v>
      </c>
      <c r="X243" s="2" t="n">
        <v>0</v>
      </c>
      <c r="Y243" s="2" t="n">
        <v>1</v>
      </c>
      <c r="AG243" s="4"/>
    </row>
    <row r="244" s="2" customFormat="true" ht="12.8" hidden="false" customHeight="false" outlineLevel="0" collapsed="false">
      <c r="A244" s="1" t="s">
        <v>1690</v>
      </c>
      <c r="B244" s="2" t="n">
        <v>231</v>
      </c>
      <c r="C244" s="2" t="n">
        <v>226</v>
      </c>
      <c r="D244" s="2" t="s">
        <v>1691</v>
      </c>
      <c r="E244" s="2" t="s">
        <v>1692</v>
      </c>
      <c r="F244" s="2" t="s">
        <v>1693</v>
      </c>
      <c r="H244" s="3" t="s">
        <v>1694</v>
      </c>
      <c r="I244" s="2" t="str">
        <f aca="false">CONCATENATE("http://www.wikidata.org/entity/",H244)</f>
        <v>http://www.wikidata.org/entity/Q1259917</v>
      </c>
      <c r="J244" s="3" t="s">
        <v>1695</v>
      </c>
      <c r="K244" s="2" t="str">
        <f aca="false">CONCATENATE("https://d-nb.info/gnd/",J244)</f>
        <v>https://d-nb.info/gnd/4156342-6</v>
      </c>
      <c r="L244" s="3" t="s">
        <v>1696</v>
      </c>
      <c r="M244" s="2" t="str">
        <f aca="false">CONCATENATE("https://d-nb.info/gnd/",L244)</f>
        <v>https://d-nb.info/gnd/4334809-9</v>
      </c>
      <c r="N244" s="3"/>
      <c r="P244" s="3" t="n">
        <v>300235044</v>
      </c>
      <c r="Q244" s="2" t="str">
        <f aca="false">CONCATENATE("https://vocab.getty.edu/aat/",P244)</f>
        <v>https://vocab.getty.edu/aat/300235044</v>
      </c>
      <c r="R244" s="2" t="s">
        <v>1697</v>
      </c>
      <c r="S244" s="2" t="s">
        <v>1698</v>
      </c>
      <c r="X244" s="2" t="n">
        <v>0</v>
      </c>
      <c r="Y244" s="2" t="n">
        <v>1</v>
      </c>
      <c r="AG244" s="4"/>
    </row>
    <row r="245" s="2" customFormat="true" ht="12.8" hidden="false" customHeight="false" outlineLevel="0" collapsed="false">
      <c r="A245" s="1" t="s">
        <v>1699</v>
      </c>
      <c r="B245" s="2" t="n">
        <v>232</v>
      </c>
      <c r="D245" s="2" t="s">
        <v>1700</v>
      </c>
      <c r="E245" s="2" t="s">
        <v>1701</v>
      </c>
      <c r="F245" s="2" t="s">
        <v>1702</v>
      </c>
      <c r="G245" s="2" t="s">
        <v>1703</v>
      </c>
      <c r="H245" s="3" t="s">
        <v>1704</v>
      </c>
      <c r="I245" s="2" t="str">
        <f aca="false">CONCATENATE("http://www.wikidata.org/entity/",H245)</f>
        <v>http://www.wikidata.org/entity/Q48282</v>
      </c>
      <c r="J245" s="3" t="s">
        <v>1705</v>
      </c>
      <c r="K245" s="2" t="str">
        <f aca="false">CONCATENATE("https://d-nb.info/gnd/",J245)</f>
        <v>https://d-nb.info/gnd/4058167-6</v>
      </c>
      <c r="L245" s="3" t="s">
        <v>1706</v>
      </c>
      <c r="M245" s="2" t="str">
        <f aca="false">CONCATENATE("https://d-nb.info/gnd/",L245)</f>
        <v>https://d-nb.info/gnd/4138764-8</v>
      </c>
      <c r="N245" s="3"/>
      <c r="P245" s="3" t="n">
        <v>300419414</v>
      </c>
      <c r="Q245" s="2" t="str">
        <f aca="false">CONCATENATE("https://vocab.getty.edu/aat/",P245)</f>
        <v>https://vocab.getty.edu/aat/300419414</v>
      </c>
      <c r="R245" s="2" t="s">
        <v>1700</v>
      </c>
      <c r="S245" s="2" t="s">
        <v>1702</v>
      </c>
      <c r="X245" s="2" t="n">
        <v>0</v>
      </c>
      <c r="Y245" s="2" t="n">
        <v>0</v>
      </c>
      <c r="AG245" s="4"/>
    </row>
    <row r="246" s="2" customFormat="true" ht="12.8" hidden="false" customHeight="false" outlineLevel="0" collapsed="false">
      <c r="A246" s="1" t="s">
        <v>1707</v>
      </c>
      <c r="B246" s="2" t="n">
        <v>233</v>
      </c>
      <c r="D246" s="2" t="s">
        <v>1708</v>
      </c>
      <c r="E246" s="2" t="s">
        <v>1709</v>
      </c>
      <c r="F246" s="2" t="s">
        <v>1710</v>
      </c>
      <c r="G246" s="2" t="s">
        <v>1711</v>
      </c>
      <c r="H246" s="3" t="s">
        <v>1712</v>
      </c>
      <c r="I246" s="2" t="str">
        <f aca="false">CONCATENATE("http://www.wikidata.org/entity/",H246)</f>
        <v>http://www.wikidata.org/entity/Q11481802</v>
      </c>
      <c r="J246" s="3" t="s">
        <v>1713</v>
      </c>
      <c r="K246" s="2" t="str">
        <f aca="false">CONCATENATE("https://d-nb.info/gnd/",J246)</f>
        <v>https://d-nb.info/gnd/7627204-7</v>
      </c>
      <c r="L246" s="3" t="s">
        <v>1714</v>
      </c>
      <c r="M246" s="2" t="str">
        <f aca="false">CONCATENATE("https://d-nb.info/gnd/",L246)</f>
        <v>https://d-nb.info/gnd/7627205-9</v>
      </c>
      <c r="N246" s="3"/>
      <c r="P246" s="3"/>
      <c r="R246" s="2" t="s">
        <v>1708</v>
      </c>
      <c r="S246" s="2" t="s">
        <v>1710</v>
      </c>
      <c r="X246" s="2" t="n">
        <v>0</v>
      </c>
      <c r="Y246" s="2" t="n">
        <v>1</v>
      </c>
      <c r="AG246" s="4"/>
    </row>
    <row r="247" s="2" customFormat="true" ht="12.8" hidden="false" customHeight="false" outlineLevel="0" collapsed="false">
      <c r="A247" s="1" t="s">
        <v>1715</v>
      </c>
      <c r="B247" s="2" t="n">
        <v>234</v>
      </c>
      <c r="D247" s="2" t="s">
        <v>1716</v>
      </c>
      <c r="E247" s="2" t="s">
        <v>1717</v>
      </c>
      <c r="F247" s="2" t="s">
        <v>1718</v>
      </c>
      <c r="G247" s="2" t="s">
        <v>1719</v>
      </c>
      <c r="H247" s="3" t="s">
        <v>1720</v>
      </c>
      <c r="I247" s="2" t="str">
        <f aca="false">CONCATENATE("http://www.wikidata.org/entity/",H247)</f>
        <v>http://www.wikidata.org/entity/Q1208493</v>
      </c>
      <c r="J247" s="3" t="s">
        <v>1721</v>
      </c>
      <c r="K247" s="2" t="str">
        <f aca="false">CONCATENATE("https://d-nb.info/gnd/",J247)</f>
        <v>https://d-nb.info/gnd/104278826X</v>
      </c>
      <c r="L247" s="3" t="n">
        <v>1042788391</v>
      </c>
      <c r="M247" s="2" t="str">
        <f aca="false">CONCATENATE("https://d-nb.info/gnd/",L247)</f>
        <v>https://d-nb.info/gnd/1042788391</v>
      </c>
      <c r="N247" s="3"/>
      <c r="P247" s="3"/>
      <c r="R247" s="2" t="s">
        <v>1716</v>
      </c>
      <c r="S247" s="2" t="s">
        <v>1718</v>
      </c>
      <c r="X247" s="2" t="n">
        <v>0</v>
      </c>
      <c r="Y247" s="2" t="n">
        <v>1</v>
      </c>
      <c r="AG247" s="4"/>
    </row>
    <row r="248" s="2" customFormat="true" ht="12.8" hidden="false" customHeight="false" outlineLevel="0" collapsed="false">
      <c r="A248" s="1" t="s">
        <v>1722</v>
      </c>
      <c r="B248" s="2" t="n">
        <v>235</v>
      </c>
      <c r="D248" s="2" t="s">
        <v>1723</v>
      </c>
      <c r="E248" s="2" t="s">
        <v>1724</v>
      </c>
      <c r="F248" s="2" t="s">
        <v>1725</v>
      </c>
      <c r="H248" s="3" t="s">
        <v>1726</v>
      </c>
      <c r="I248" s="2" t="str">
        <f aca="false">CONCATENATE("http://www.wikidata.org/entity/",H248)</f>
        <v>http://www.wikidata.org/entity/Q2962070</v>
      </c>
      <c r="J248" s="3"/>
      <c r="L248" s="3"/>
      <c r="N248" s="3"/>
      <c r="P248" s="3" t="n">
        <v>300435127</v>
      </c>
      <c r="Q248" s="2" t="str">
        <f aca="false">CONCATENATE("https://vocab.getty.edu/aat/",P248)</f>
        <v>https://vocab.getty.edu/aat/300435127</v>
      </c>
      <c r="R248" s="2" t="s">
        <v>1723</v>
      </c>
      <c r="S248" s="2" t="s">
        <v>1725</v>
      </c>
      <c r="X248" s="2" t="n">
        <v>0</v>
      </c>
      <c r="Y248" s="2" t="n">
        <v>0</v>
      </c>
      <c r="AG248" s="4"/>
    </row>
    <row r="249" s="2" customFormat="true" ht="12.8" hidden="false" customHeight="false" outlineLevel="0" collapsed="false">
      <c r="A249" s="1" t="s">
        <v>1727</v>
      </c>
      <c r="B249" s="2" t="n">
        <v>236</v>
      </c>
      <c r="D249" s="2" t="s">
        <v>1728</v>
      </c>
      <c r="E249" s="2" t="s">
        <v>1729</v>
      </c>
      <c r="F249" s="2" t="s">
        <v>1730</v>
      </c>
      <c r="H249" s="3" t="s">
        <v>1731</v>
      </c>
      <c r="I249" s="2" t="str">
        <f aca="false">CONCATENATE("http://www.wikidata.org/entity/",H249)</f>
        <v>http://www.wikidata.org/entity/Q5716684</v>
      </c>
      <c r="J249" s="3" t="s">
        <v>1732</v>
      </c>
      <c r="K249" s="2" t="str">
        <f aca="false">CONCATENATE("https://d-nb.info/gnd/",J249)</f>
        <v>https://d-nb.info/gnd/4136608-6</v>
      </c>
      <c r="L249" s="3" t="s">
        <v>1733</v>
      </c>
      <c r="M249" s="2" t="str">
        <f aca="false">CONCATENATE("https://d-nb.info/gnd/",L249)</f>
        <v>https://d-nb.info/gnd/4207110-0</v>
      </c>
      <c r="N249" s="3"/>
      <c r="P249" s="3" t="n">
        <v>300025653</v>
      </c>
      <c r="Q249" s="2" t="str">
        <f aca="false">CONCATENATE("https://vocab.getty.edu/aat/",P249)</f>
        <v>https://vocab.getty.edu/aat/300025653</v>
      </c>
      <c r="R249" s="2" t="s">
        <v>1728</v>
      </c>
      <c r="S249" s="2" t="s">
        <v>1730</v>
      </c>
      <c r="X249" s="2" t="n">
        <v>0</v>
      </c>
      <c r="Y249" s="2" t="n">
        <v>1</v>
      </c>
      <c r="AG249" s="4"/>
    </row>
    <row r="250" s="2" customFormat="true" ht="12.8" hidden="false" customHeight="false" outlineLevel="0" collapsed="false">
      <c r="A250" s="1" t="s">
        <v>1734</v>
      </c>
      <c r="B250" s="2" t="n">
        <v>237</v>
      </c>
      <c r="D250" s="2" t="s">
        <v>1735</v>
      </c>
      <c r="E250" s="2" t="s">
        <v>1736</v>
      </c>
      <c r="F250" s="2" t="s">
        <v>1737</v>
      </c>
      <c r="G250" s="2" t="s">
        <v>1738</v>
      </c>
      <c r="H250" s="3" t="s">
        <v>1739</v>
      </c>
      <c r="I250" s="2" t="str">
        <f aca="false">CONCATENATE("http://www.wikidata.org/entity/",H250)</f>
        <v>http://www.wikidata.org/entity/Q123110557</v>
      </c>
      <c r="J250" s="3"/>
      <c r="L250" s="3"/>
      <c r="N250" s="3"/>
      <c r="P250" s="3" t="n">
        <v>300234981</v>
      </c>
      <c r="Q250" s="2" t="str">
        <f aca="false">CONCATENATE("https://vocab.getty.edu/aat/",P250)</f>
        <v>https://vocab.getty.edu/aat/300234981</v>
      </c>
      <c r="R250" s="2" t="s">
        <v>1735</v>
      </c>
      <c r="S250" s="2" t="s">
        <v>1737</v>
      </c>
      <c r="X250" s="2" t="n">
        <v>0</v>
      </c>
      <c r="Y250" s="2" t="n">
        <v>1</v>
      </c>
      <c r="AG250" s="4"/>
    </row>
    <row r="251" s="2" customFormat="true" ht="12.8" hidden="false" customHeight="false" outlineLevel="0" collapsed="false">
      <c r="A251" s="1" t="s">
        <v>1740</v>
      </c>
      <c r="B251" s="2" t="n">
        <v>238</v>
      </c>
      <c r="C251" s="2" t="n">
        <v>237</v>
      </c>
      <c r="D251" s="2" t="s">
        <v>1741</v>
      </c>
      <c r="E251" s="2" t="s">
        <v>1742</v>
      </c>
      <c r="F251" s="2" t="s">
        <v>1743</v>
      </c>
      <c r="H251" s="3" t="s">
        <v>1744</v>
      </c>
      <c r="I251" s="2" t="str">
        <f aca="false">CONCATENATE("http://www.wikidata.org/entity/",H251)</f>
        <v>http://www.wikidata.org/entity/Q5371902</v>
      </c>
      <c r="J251" s="3" t="s">
        <v>1745</v>
      </c>
      <c r="K251" s="2" t="str">
        <f aca="false">CONCATENATE("https://d-nb.info/gnd/",J251)</f>
        <v>https://d-nb.info/gnd/4776368-1</v>
      </c>
      <c r="L251" s="3" t="s">
        <v>1746</v>
      </c>
      <c r="M251" s="2" t="str">
        <f aca="false">CONCATENATE("https://d-nb.info/gnd/",L251)</f>
        <v>https://d-nb.info/gnd/7553293-1</v>
      </c>
      <c r="N251" s="3"/>
      <c r="P251" s="3" t="n">
        <v>300235014</v>
      </c>
      <c r="Q251" s="2" t="str">
        <f aca="false">CONCATENATE("https://vocab.getty.edu/aat/",P251)</f>
        <v>https://vocab.getty.edu/aat/300235014</v>
      </c>
      <c r="R251" s="2" t="s">
        <v>1747</v>
      </c>
      <c r="S251" s="2" t="s">
        <v>1748</v>
      </c>
      <c r="X251" s="2" t="n">
        <v>0</v>
      </c>
      <c r="Y251" s="2" t="n">
        <v>1</v>
      </c>
      <c r="AG251" s="4"/>
    </row>
    <row r="252" s="2" customFormat="true" ht="12.8" hidden="false" customHeight="false" outlineLevel="0" collapsed="false">
      <c r="A252" s="1" t="s">
        <v>1749</v>
      </c>
      <c r="B252" s="2" t="n">
        <v>239</v>
      </c>
      <c r="C252" s="2" t="n">
        <v>237</v>
      </c>
      <c r="D252" s="2" t="s">
        <v>1750</v>
      </c>
      <c r="E252" s="2" t="s">
        <v>1751</v>
      </c>
      <c r="F252" s="2" t="s">
        <v>1752</v>
      </c>
      <c r="H252" s="3" t="s">
        <v>1753</v>
      </c>
      <c r="I252" s="2" t="str">
        <f aca="false">CONCATENATE("http://www.wikidata.org/entity/",H252)</f>
        <v>http://www.wikidata.org/entity/Q54844699</v>
      </c>
      <c r="J252" s="3" t="s">
        <v>1754</v>
      </c>
      <c r="K252" s="2" t="str">
        <f aca="false">CONCATENATE("https://d-nb.info/gnd/",J252)</f>
        <v>https://d-nb.info/gnd/7553330-3</v>
      </c>
      <c r="L252" s="3" t="s">
        <v>1755</v>
      </c>
      <c r="M252" s="2" t="str">
        <f aca="false">CONCATENATE("https://d-nb.info/gnd/",L252)</f>
        <v>https://d-nb.info/gnd/7553329-7</v>
      </c>
      <c r="N252" s="3"/>
      <c r="P252" s="3"/>
      <c r="R252" s="2" t="s">
        <v>1756</v>
      </c>
      <c r="S252" s="2" t="s">
        <v>1757</v>
      </c>
      <c r="X252" s="2" t="n">
        <v>0</v>
      </c>
      <c r="Y252" s="2" t="n">
        <v>1</v>
      </c>
      <c r="AG252" s="4"/>
    </row>
    <row r="253" s="2" customFormat="true" ht="12.8" hidden="false" customHeight="false" outlineLevel="0" collapsed="false">
      <c r="A253" s="1" t="s">
        <v>1758</v>
      </c>
      <c r="B253" s="2" t="n">
        <v>240</v>
      </c>
      <c r="C253" s="2" t="n">
        <v>237</v>
      </c>
      <c r="D253" s="2" t="s">
        <v>1759</v>
      </c>
      <c r="E253" s="2" t="s">
        <v>1760</v>
      </c>
      <c r="F253" s="2" t="s">
        <v>1761</v>
      </c>
      <c r="H253" s="3" t="s">
        <v>1762</v>
      </c>
      <c r="I253" s="2" t="str">
        <f aca="false">CONCATENATE("http://www.wikidata.org/entity/",H253)</f>
        <v>http://www.wikidata.org/entity/Q1075651</v>
      </c>
      <c r="J253" s="3"/>
      <c r="L253" s="3"/>
      <c r="N253" s="3"/>
      <c r="P253" s="3"/>
      <c r="R253" s="2" t="s">
        <v>1763</v>
      </c>
      <c r="S253" s="2" t="s">
        <v>1764</v>
      </c>
      <c r="X253" s="2" t="n">
        <v>0</v>
      </c>
      <c r="Y253" s="2" t="n">
        <v>1</v>
      </c>
      <c r="AG253" s="4"/>
    </row>
    <row r="254" s="2" customFormat="true" ht="12.8" hidden="false" customHeight="false" outlineLevel="0" collapsed="false">
      <c r="A254" s="1" t="s">
        <v>1765</v>
      </c>
      <c r="B254" s="2" t="n">
        <v>241</v>
      </c>
      <c r="C254" s="2" t="n">
        <v>237</v>
      </c>
      <c r="D254" s="2" t="s">
        <v>1766</v>
      </c>
      <c r="E254" s="2" t="s">
        <v>1767</v>
      </c>
      <c r="F254" s="2" t="s">
        <v>1768</v>
      </c>
      <c r="H254" s="3" t="s">
        <v>1769</v>
      </c>
      <c r="I254" s="2" t="str">
        <f aca="false">CONCATENATE("http://www.wikidata.org/entity/",H254)</f>
        <v>http://www.wikidata.org/entity/Q765778</v>
      </c>
      <c r="J254" s="3" t="s">
        <v>1770</v>
      </c>
      <c r="K254" s="2" t="str">
        <f aca="false">CONCATENATE("https://d-nb.info/gnd/",J254)</f>
        <v>https://d-nb.info/gnd/4172793-9</v>
      </c>
      <c r="L254" s="3" t="s">
        <v>1771</v>
      </c>
      <c r="M254" s="2" t="str">
        <f aca="false">CONCATENATE("https://d-nb.info/gnd/",L254)</f>
        <v>https://d-nb.info/gnd/7553351-0</v>
      </c>
      <c r="N254" s="3"/>
      <c r="P254" s="3" t="n">
        <v>300235015</v>
      </c>
      <c r="Q254" s="2" t="str">
        <f aca="false">CONCATENATE("https://vocab.getty.edu/aat/",P254)</f>
        <v>https://vocab.getty.edu/aat/300235015</v>
      </c>
      <c r="R254" s="2" t="s">
        <v>1772</v>
      </c>
      <c r="S254" s="2" t="s">
        <v>1773</v>
      </c>
      <c r="X254" s="2" t="n">
        <v>0</v>
      </c>
      <c r="Y254" s="2" t="n">
        <v>1</v>
      </c>
      <c r="AG254" s="4"/>
    </row>
    <row r="255" s="2" customFormat="true" ht="12.8" hidden="false" customHeight="false" outlineLevel="0" collapsed="false">
      <c r="A255" s="1" t="s">
        <v>1774</v>
      </c>
      <c r="B255" s="2" t="n">
        <v>242</v>
      </c>
      <c r="C255" s="2" t="n">
        <v>237</v>
      </c>
      <c r="D255" s="2" t="s">
        <v>1775</v>
      </c>
      <c r="E255" s="2" t="s">
        <v>1776</v>
      </c>
      <c r="F255" s="2" t="s">
        <v>1777</v>
      </c>
      <c r="H255" s="3" t="s">
        <v>1778</v>
      </c>
      <c r="I255" s="2" t="str">
        <f aca="false">CONCATENATE("http://www.wikidata.org/entity/",H255)</f>
        <v>http://www.wikidata.org/entity/Q486748</v>
      </c>
      <c r="J255" s="3" t="s">
        <v>1779</v>
      </c>
      <c r="K255" s="2" t="str">
        <f aca="false">CONCATENATE("https://d-nb.info/gnd/",J255)</f>
        <v>https://d-nb.info/gnd/4131406-2</v>
      </c>
      <c r="L255" s="3" t="s">
        <v>1780</v>
      </c>
      <c r="M255" s="2" t="str">
        <f aca="false">CONCATENATE("https://d-nb.info/gnd/",L255)</f>
        <v>https://d-nb.info/gnd/4426550-5</v>
      </c>
      <c r="N255" s="3"/>
      <c r="P255" s="3" t="n">
        <v>300235018</v>
      </c>
      <c r="Q255" s="2" t="str">
        <f aca="false">CONCATENATE("https://vocab.getty.edu/aat/",P255)</f>
        <v>https://vocab.getty.edu/aat/300235018</v>
      </c>
      <c r="R255" s="2" t="s">
        <v>1781</v>
      </c>
      <c r="S255" s="2" t="s">
        <v>1782</v>
      </c>
      <c r="X255" s="2" t="n">
        <v>0</v>
      </c>
      <c r="Y255" s="2" t="n">
        <v>1</v>
      </c>
      <c r="AG255" s="4"/>
    </row>
    <row r="256" s="2" customFormat="true" ht="12.8" hidden="false" customHeight="false" outlineLevel="0" collapsed="false">
      <c r="A256" s="1" t="s">
        <v>1783</v>
      </c>
      <c r="B256" s="2" t="n">
        <v>243</v>
      </c>
      <c r="C256" s="2" t="n">
        <v>237</v>
      </c>
      <c r="D256" s="2" t="s">
        <v>1784</v>
      </c>
      <c r="E256" s="2" t="s">
        <v>1785</v>
      </c>
      <c r="F256" s="2" t="s">
        <v>1786</v>
      </c>
      <c r="H256" s="3" t="s">
        <v>1787</v>
      </c>
      <c r="I256" s="2" t="str">
        <f aca="false">CONCATENATE("http://www.wikidata.org/entity/",H256)</f>
        <v>http://www.wikidata.org/entity/Q1733058</v>
      </c>
      <c r="J256" s="3"/>
      <c r="L256" s="3"/>
      <c r="N256" s="3"/>
      <c r="P256" s="3"/>
      <c r="R256" s="2" t="s">
        <v>1788</v>
      </c>
      <c r="S256" s="2" t="s">
        <v>1789</v>
      </c>
      <c r="X256" s="2" t="n">
        <v>0</v>
      </c>
      <c r="Y256" s="2" t="n">
        <v>1</v>
      </c>
      <c r="AG256" s="4"/>
    </row>
    <row r="257" s="2" customFormat="true" ht="12.8" hidden="false" customHeight="false" outlineLevel="0" collapsed="false">
      <c r="A257" s="1" t="s">
        <v>1790</v>
      </c>
      <c r="B257" s="2" t="n">
        <v>244</v>
      </c>
      <c r="D257" s="2" t="s">
        <v>1791</v>
      </c>
      <c r="E257" s="2" t="s">
        <v>1792</v>
      </c>
      <c r="F257" s="2" t="s">
        <v>1793</v>
      </c>
      <c r="H257" s="3" t="s">
        <v>1794</v>
      </c>
      <c r="I257" s="2" t="str">
        <f aca="false">CONCATENATE("http://www.wikidata.org/entity/",H257)</f>
        <v>http://www.wikidata.org/entity/Q5352191</v>
      </c>
      <c r="J257" s="3" t="s">
        <v>1795</v>
      </c>
      <c r="K257" s="2" t="str">
        <f aca="false">CONCATENATE("https://d-nb.info/gnd/",J257)</f>
        <v>https://d-nb.info/gnd/4138289-4</v>
      </c>
      <c r="L257" s="3" t="s">
        <v>1796</v>
      </c>
      <c r="M257" s="2" t="str">
        <f aca="false">CONCATENATE("https://d-nb.info/gnd/",L257)</f>
        <v>https://d-nb.info/gnd/4278765-8</v>
      </c>
      <c r="N257" s="3"/>
      <c r="P257" s="3" t="n">
        <v>300025823</v>
      </c>
      <c r="Q257" s="2" t="str">
        <f aca="false">CONCATENATE("https://vocab.getty.edu/aat/",P257)</f>
        <v>https://vocab.getty.edu/aat/300025823</v>
      </c>
      <c r="R257" s="2" t="s">
        <v>1791</v>
      </c>
      <c r="S257" s="2" t="s">
        <v>1793</v>
      </c>
      <c r="X257" s="2" t="n">
        <v>0</v>
      </c>
      <c r="Y257" s="2" t="n">
        <v>0</v>
      </c>
      <c r="AG257" s="4"/>
    </row>
    <row r="258" s="2" customFormat="true" ht="12.8" hidden="false" customHeight="false" outlineLevel="0" collapsed="false">
      <c r="A258" s="1" t="s">
        <v>1797</v>
      </c>
      <c r="B258" s="2" t="n">
        <v>245</v>
      </c>
      <c r="C258" s="2" t="n">
        <v>244</v>
      </c>
      <c r="D258" s="2" t="s">
        <v>1798</v>
      </c>
      <c r="E258" s="2" t="s">
        <v>1799</v>
      </c>
      <c r="F258" s="2" t="s">
        <v>1800</v>
      </c>
      <c r="G258" s="2" t="s">
        <v>1801</v>
      </c>
      <c r="H258" s="3" t="s">
        <v>1802</v>
      </c>
      <c r="I258" s="2" t="str">
        <f aca="false">CONCATENATE("http://www.wikidata.org/entity/",H258)</f>
        <v>http://www.wikidata.org/entity/Q1327130</v>
      </c>
      <c r="J258" s="3" t="s">
        <v>1803</v>
      </c>
      <c r="K258" s="2" t="str">
        <f aca="false">CONCATENATE("https://d-nb.info/gnd/",J258)</f>
        <v>https://d-nb.info/gnd/4132436-5</v>
      </c>
      <c r="L258" s="3" t="s">
        <v>1804</v>
      </c>
      <c r="M258" s="2" t="str">
        <f aca="false">CONCATENATE("https://d-nb.info/gnd/",L258)</f>
        <v>https://d-nb.info/gnd/7626343-5</v>
      </c>
      <c r="N258" s="3"/>
      <c r="P258" s="3" t="n">
        <v>300253983</v>
      </c>
      <c r="Q258" s="2" t="str">
        <f aca="false">CONCATENATE("https://vocab.getty.edu/aat/",P258)</f>
        <v>https://vocab.getty.edu/aat/300253983</v>
      </c>
      <c r="R258" s="2" t="s">
        <v>1805</v>
      </c>
      <c r="S258" s="2" t="s">
        <v>1806</v>
      </c>
      <c r="X258" s="2" t="n">
        <v>0</v>
      </c>
      <c r="Y258" s="2" t="n">
        <v>0</v>
      </c>
      <c r="AG258" s="4"/>
    </row>
    <row r="259" s="2" customFormat="true" ht="12.8" hidden="false" customHeight="false" outlineLevel="0" collapsed="false">
      <c r="A259" s="1" t="s">
        <v>1807</v>
      </c>
      <c r="B259" s="2" t="n">
        <v>246</v>
      </c>
      <c r="C259" s="2" t="n">
        <v>244</v>
      </c>
      <c r="D259" s="2" t="s">
        <v>1808</v>
      </c>
      <c r="E259" s="2" t="s">
        <v>1809</v>
      </c>
      <c r="F259" s="2" t="s">
        <v>1810</v>
      </c>
      <c r="H259" s="3" t="s">
        <v>1811</v>
      </c>
      <c r="I259" s="2" t="str">
        <f aca="false">CONCATENATE("http://www.wikidata.org/entity/",H259)</f>
        <v>http://www.wikidata.org/entity/Q1327627</v>
      </c>
      <c r="J259" s="3" t="s">
        <v>1812</v>
      </c>
      <c r="K259" s="2" t="str">
        <f aca="false">CONCATENATE("https://d-nb.info/gnd/",J259)</f>
        <v>https://d-nb.info/gnd/4131091-3</v>
      </c>
      <c r="L259" s="3" t="n">
        <v>1227233221</v>
      </c>
      <c r="M259" s="2" t="str">
        <f aca="false">CONCATENATE("https://d-nb.info/gnd/",L259)</f>
        <v>https://d-nb.info/gnd/1227233221</v>
      </c>
      <c r="N259" s="3"/>
      <c r="P259" s="3"/>
      <c r="R259" s="2" t="s">
        <v>1813</v>
      </c>
      <c r="S259" s="2" t="s">
        <v>1814</v>
      </c>
      <c r="X259" s="2" t="n">
        <v>0</v>
      </c>
      <c r="Y259" s="2" t="n">
        <v>0</v>
      </c>
      <c r="AG259" s="4"/>
    </row>
    <row r="260" s="2" customFormat="true" ht="12.8" hidden="false" customHeight="false" outlineLevel="0" collapsed="false">
      <c r="A260" s="1" t="s">
        <v>1815</v>
      </c>
      <c r="B260" s="2" t="n">
        <v>247</v>
      </c>
      <c r="D260" s="2" t="s">
        <v>1816</v>
      </c>
      <c r="E260" s="2" t="s">
        <v>1817</v>
      </c>
      <c r="F260" s="2" t="s">
        <v>1818</v>
      </c>
      <c r="H260" s="3" t="s">
        <v>1819</v>
      </c>
      <c r="I260" s="2" t="str">
        <f aca="false">CONCATENATE("http://www.wikidata.org/entity/",H260)</f>
        <v>http://www.wikidata.org/entity/Q822146</v>
      </c>
      <c r="J260" s="3"/>
      <c r="L260" s="3"/>
      <c r="N260" s="3"/>
      <c r="P260" s="3" t="n">
        <v>300025675</v>
      </c>
      <c r="Q260" s="2" t="str">
        <f aca="false">CONCATENATE("https://vocab.getty.edu/aat/",P260)</f>
        <v>https://vocab.getty.edu/aat/300025675</v>
      </c>
      <c r="R260" s="2" t="s">
        <v>1816</v>
      </c>
      <c r="S260" s="2" t="s">
        <v>1818</v>
      </c>
      <c r="X260" s="2" t="n">
        <v>1</v>
      </c>
      <c r="Y260" s="2" t="n">
        <v>0</v>
      </c>
      <c r="AG260" s="4"/>
    </row>
    <row r="261" s="2" customFormat="true" ht="12.8" hidden="false" customHeight="false" outlineLevel="0" collapsed="false">
      <c r="A261" s="1" t="s">
        <v>1820</v>
      </c>
      <c r="B261" s="2" t="n">
        <v>248</v>
      </c>
      <c r="D261" s="2" t="s">
        <v>1821</v>
      </c>
      <c r="E261" s="2" t="s">
        <v>1822</v>
      </c>
      <c r="F261" s="2" t="s">
        <v>1823</v>
      </c>
      <c r="G261" s="2" t="s">
        <v>1824</v>
      </c>
      <c r="H261" s="3" t="s">
        <v>1825</v>
      </c>
      <c r="I261" s="2" t="str">
        <f aca="false">CONCATENATE("http://www.wikidata.org/entity/",H261)</f>
        <v>http://www.wikidata.org/entity/Q2416217</v>
      </c>
      <c r="J261" s="3"/>
      <c r="L261" s="3"/>
      <c r="N261" s="3" t="s">
        <v>1826</v>
      </c>
      <c r="O261" s="2" t="str">
        <f aca="false">CONCATENATE("https://d-nb.info/gnd/",N261)</f>
        <v>https://d-nb.info/gnd/4126993-7</v>
      </c>
      <c r="P261" s="3" t="n">
        <v>300266039</v>
      </c>
      <c r="Q261" s="2" t="str">
        <f aca="false">CONCATENATE("https://vocab.getty.edu/aat/",P261)</f>
        <v>https://vocab.getty.edu/aat/300266039</v>
      </c>
      <c r="R261" s="2" t="s">
        <v>1821</v>
      </c>
      <c r="S261" s="2" t="s">
        <v>1823</v>
      </c>
      <c r="X261" s="2" t="n">
        <v>0</v>
      </c>
      <c r="Y261" s="2" t="n">
        <v>1</v>
      </c>
      <c r="AG261" s="4"/>
    </row>
    <row r="262" s="2" customFormat="true" ht="12.8" hidden="false" customHeight="false" outlineLevel="0" collapsed="false">
      <c r="A262" s="1" t="s">
        <v>1827</v>
      </c>
      <c r="B262" s="2" t="n">
        <v>249</v>
      </c>
      <c r="D262" s="2" t="s">
        <v>1828</v>
      </c>
      <c r="E262" s="2" t="s">
        <v>1829</v>
      </c>
      <c r="F262" s="2" t="s">
        <v>1830</v>
      </c>
      <c r="G262" s="2" t="s">
        <v>1831</v>
      </c>
      <c r="H262" s="3" t="s">
        <v>1832</v>
      </c>
      <c r="I262" s="2" t="str">
        <f aca="false">CONCATENATE("http://www.wikidata.org/entity/",H262)</f>
        <v>http://www.wikidata.org/entity/Q1776724</v>
      </c>
      <c r="J262" s="3" t="s">
        <v>1833</v>
      </c>
      <c r="K262" s="2" t="str">
        <f aca="false">CONCATENATE("https://d-nb.info/gnd/",J262)</f>
        <v>https://d-nb.info/gnd/4398844-1</v>
      </c>
      <c r="L262" s="3" t="s">
        <v>1834</v>
      </c>
      <c r="M262" s="2" t="str">
        <f aca="false">CONCATENATE("https://d-nb.info/gnd/",L262)</f>
        <v>https://d-nb.info/gnd/4501736-0</v>
      </c>
      <c r="N262" s="3"/>
      <c r="P262" s="3" t="n">
        <v>300312210</v>
      </c>
      <c r="Q262" s="2" t="str">
        <f aca="false">CONCATENATE("https://vocab.getty.edu/aat/",P262)</f>
        <v>https://vocab.getty.edu/aat/300312210</v>
      </c>
      <c r="R262" s="2" t="s">
        <v>1828</v>
      </c>
      <c r="S262" s="2" t="s">
        <v>1830</v>
      </c>
      <c r="X262" s="2" t="n">
        <v>0</v>
      </c>
      <c r="Y262" s="2" t="n">
        <v>0</v>
      </c>
      <c r="AG262" s="4"/>
    </row>
    <row r="263" s="2" customFormat="true" ht="12.8" hidden="false" customHeight="false" outlineLevel="0" collapsed="false">
      <c r="A263" s="1" t="s">
        <v>1835</v>
      </c>
      <c r="B263" s="2" t="n">
        <v>250</v>
      </c>
      <c r="D263" s="2" t="s">
        <v>1836</v>
      </c>
      <c r="E263" s="2" t="s">
        <v>1837</v>
      </c>
      <c r="F263" s="2" t="s">
        <v>1838</v>
      </c>
      <c r="G263" s="2" t="s">
        <v>1839</v>
      </c>
      <c r="H263" s="3" t="s">
        <v>1840</v>
      </c>
      <c r="I263" s="2" t="str">
        <f aca="false">CONCATENATE("http://www.wikidata.org/entity/",H263)</f>
        <v>http://www.wikidata.org/entity/Q1759246</v>
      </c>
      <c r="J263" s="3" t="s">
        <v>1841</v>
      </c>
      <c r="K263" s="2" t="str">
        <f aca="false">CONCATENATE("https://d-nb.info/gnd/",J263)</f>
        <v>https://d-nb.info/gnd/4504084-9</v>
      </c>
      <c r="L263" s="3" t="s">
        <v>1842</v>
      </c>
      <c r="M263" s="2" t="str">
        <f aca="false">CONCATENATE("https://d-nb.info/gnd/",L263)</f>
        <v>https://d-nb.info/gnd/4635472-4</v>
      </c>
      <c r="N263" s="3"/>
      <c r="P263" s="3"/>
      <c r="R263" s="2" t="s">
        <v>1836</v>
      </c>
      <c r="S263" s="2" t="s">
        <v>1838</v>
      </c>
      <c r="X263" s="2" t="n">
        <v>0</v>
      </c>
      <c r="Y263" s="2" t="n">
        <v>0</v>
      </c>
      <c r="AG263" s="4"/>
    </row>
    <row r="264" s="2" customFormat="true" ht="12.8" hidden="false" customHeight="false" outlineLevel="0" collapsed="false">
      <c r="A264" s="1" t="s">
        <v>1843</v>
      </c>
      <c r="B264" s="2" t="n">
        <v>251</v>
      </c>
      <c r="D264" s="2" t="s">
        <v>1844</v>
      </c>
      <c r="E264" s="2" t="s">
        <v>1845</v>
      </c>
      <c r="F264" s="2" t="s">
        <v>1846</v>
      </c>
      <c r="G264" s="2" t="s">
        <v>1847</v>
      </c>
      <c r="H264" s="3" t="s">
        <v>1848</v>
      </c>
      <c r="I264" s="2" t="str">
        <f aca="false">CONCATENATE("http://www.wikidata.org/entity/",H264)</f>
        <v>http://www.wikidata.org/entity/Q128124</v>
      </c>
      <c r="J264" s="3" t="s">
        <v>161</v>
      </c>
      <c r="K264" s="2" t="str">
        <f aca="false">CONCATENATE("https://d-nb.info/gnd/",J264)</f>
        <v>https://d-nb.info/gnd/4375554-9</v>
      </c>
      <c r="L264" s="3" t="s">
        <v>162</v>
      </c>
      <c r="M264" s="2" t="str">
        <f aca="false">CONCATENATE("https://d-nb.info/gnd/",L264)</f>
        <v>https://d-nb.info/gnd/7859952-0</v>
      </c>
      <c r="N264" s="3"/>
      <c r="P264" s="3"/>
      <c r="R264" s="2" t="s">
        <v>1844</v>
      </c>
      <c r="S264" s="2" t="s">
        <v>1846</v>
      </c>
      <c r="X264" s="2" t="n">
        <v>0</v>
      </c>
      <c r="Y264" s="2" t="n">
        <v>0</v>
      </c>
      <c r="AG264" s="4"/>
    </row>
    <row r="265" s="2" customFormat="true" ht="12.8" hidden="false" customHeight="false" outlineLevel="0" collapsed="false">
      <c r="A265" s="1" t="s">
        <v>1849</v>
      </c>
      <c r="B265" s="2" t="n">
        <v>252</v>
      </c>
      <c r="C265" s="2" t="n">
        <v>251</v>
      </c>
      <c r="D265" s="2" t="s">
        <v>1850</v>
      </c>
      <c r="E265" s="2" t="s">
        <v>1851</v>
      </c>
      <c r="F265" s="2" t="s">
        <v>1852</v>
      </c>
      <c r="H265" s="3" t="s">
        <v>1853</v>
      </c>
      <c r="I265" s="2" t="str">
        <f aca="false">CONCATENATE("http://www.wikidata.org/entity/",H265)</f>
        <v>http://www.wikidata.org/entity/Q6785368</v>
      </c>
      <c r="J265" s="3"/>
      <c r="L265" s="3"/>
      <c r="N265" s="3"/>
      <c r="P265" s="3"/>
      <c r="R265" s="2" t="s">
        <v>1854</v>
      </c>
      <c r="S265" s="2" t="s">
        <v>1855</v>
      </c>
      <c r="X265" s="2" t="n">
        <v>0</v>
      </c>
      <c r="Y265" s="2" t="n">
        <v>0</v>
      </c>
      <c r="AG265" s="4"/>
    </row>
    <row r="266" s="2" customFormat="true" ht="12.8" hidden="false" customHeight="false" outlineLevel="0" collapsed="false">
      <c r="A266" s="1" t="s">
        <v>1856</v>
      </c>
      <c r="B266" s="2" t="n">
        <v>253</v>
      </c>
      <c r="C266" s="2" t="n">
        <v>251</v>
      </c>
      <c r="D266" s="2" t="s">
        <v>1857</v>
      </c>
      <c r="E266" s="2" t="s">
        <v>1858</v>
      </c>
      <c r="F266" s="2" t="s">
        <v>1859</v>
      </c>
      <c r="H266" s="3" t="s">
        <v>1860</v>
      </c>
      <c r="I266" s="2" t="str">
        <f aca="false">CONCATENATE("http://www.wikidata.org/entity/",H266)</f>
        <v>http://www.wikidata.org/entity/Q123110627</v>
      </c>
      <c r="J266" s="3"/>
      <c r="L266" s="3"/>
      <c r="N266" s="3"/>
      <c r="P266" s="3"/>
      <c r="R266" s="2" t="s">
        <v>1861</v>
      </c>
      <c r="S266" s="2" t="s">
        <v>1862</v>
      </c>
      <c r="X266" s="2" t="n">
        <v>0</v>
      </c>
      <c r="Y266" s="2" t="n">
        <v>0</v>
      </c>
      <c r="AG266" s="4"/>
    </row>
    <row r="267" s="2" customFormat="true" ht="12.8" hidden="false" customHeight="false" outlineLevel="0" collapsed="false">
      <c r="A267" s="1" t="s">
        <v>1863</v>
      </c>
      <c r="B267" s="2" t="n">
        <v>254</v>
      </c>
      <c r="D267" s="2" t="s">
        <v>1864</v>
      </c>
      <c r="E267" s="2" t="s">
        <v>1865</v>
      </c>
      <c r="F267" s="2" t="s">
        <v>1866</v>
      </c>
      <c r="H267" s="3" t="s">
        <v>1867</v>
      </c>
      <c r="I267" s="2" t="str">
        <f aca="false">CONCATENATE("http://www.wikidata.org/entity/",H267)</f>
        <v>http://www.wikidata.org/entity/Q333634</v>
      </c>
      <c r="J267" s="3" t="s">
        <v>1868</v>
      </c>
      <c r="K267" s="2" t="str">
        <f aca="false">CONCATENATE("https://d-nb.info/gnd/",J267)</f>
        <v>https://d-nb.info/gnd/4061414-1</v>
      </c>
      <c r="L267" s="3" t="s">
        <v>1869</v>
      </c>
      <c r="M267" s="2" t="str">
        <f aca="false">CONCATENATE("https://d-nb.info/gnd/",L267)</f>
        <v>https://d-nb.info/gnd/4372438-3</v>
      </c>
      <c r="N267" s="3"/>
      <c r="P267" s="3" t="n">
        <v>300025601</v>
      </c>
      <c r="Q267" s="2" t="str">
        <f aca="false">CONCATENATE("https://vocab.getty.edu/aat/",P267)</f>
        <v>https://vocab.getty.edu/aat/300025601</v>
      </c>
      <c r="R267" s="2" t="s">
        <v>1864</v>
      </c>
      <c r="S267" s="2" t="s">
        <v>1866</v>
      </c>
      <c r="X267" s="2" t="n">
        <v>0</v>
      </c>
      <c r="Y267" s="2" t="n">
        <v>0</v>
      </c>
      <c r="AG267" s="4"/>
    </row>
    <row r="268" s="2" customFormat="true" ht="12.8" hidden="false" customHeight="false" outlineLevel="0" collapsed="false">
      <c r="A268" s="1" t="s">
        <v>1870</v>
      </c>
      <c r="B268" s="2" t="n">
        <v>255</v>
      </c>
      <c r="D268" s="2" t="s">
        <v>1871</v>
      </c>
      <c r="E268" s="2" t="s">
        <v>1872</v>
      </c>
      <c r="F268" s="2" t="s">
        <v>1873</v>
      </c>
      <c r="H268" s="3" t="s">
        <v>1874</v>
      </c>
      <c r="I268" s="2" t="str">
        <f aca="false">CONCATENATE("http://www.wikidata.org/entity/",H268)</f>
        <v>http://www.wikidata.org/entity/Q131524</v>
      </c>
      <c r="J268" s="3" t="s">
        <v>1875</v>
      </c>
      <c r="K268" s="2" t="str">
        <f aca="false">CONCATENATE("https://d-nb.info/gnd/",J268)</f>
        <v>https://d-nb.info/gnd/4061949-7</v>
      </c>
      <c r="L268" s="3" t="s">
        <v>1876</v>
      </c>
      <c r="M268" s="2" t="str">
        <f aca="false">CONCATENATE("https://d-nb.info/gnd/",L268)</f>
        <v>https://d-nb.info/gnd/4187051-7</v>
      </c>
      <c r="N268" s="3"/>
      <c r="P268" s="3" t="n">
        <v>300025222</v>
      </c>
      <c r="Q268" s="2" t="str">
        <f aca="false">CONCATENATE("https://vocab.getty.edu/aat/",P268)</f>
        <v>https://vocab.getty.edu/aat/300025222</v>
      </c>
      <c r="R268" s="2" t="s">
        <v>1871</v>
      </c>
      <c r="S268" s="2" t="s">
        <v>1873</v>
      </c>
      <c r="X268" s="2" t="n">
        <v>0</v>
      </c>
      <c r="Y268" s="2" t="n">
        <v>0</v>
      </c>
      <c r="AG268" s="4"/>
    </row>
    <row r="269" s="2" customFormat="true" ht="12.8" hidden="false" customHeight="false" outlineLevel="0" collapsed="false">
      <c r="A269" s="1" t="s">
        <v>1877</v>
      </c>
      <c r="B269" s="2" t="n">
        <v>256</v>
      </c>
      <c r="D269" s="2" t="s">
        <v>1878</v>
      </c>
      <c r="E269" s="2" t="s">
        <v>1879</v>
      </c>
      <c r="F269" s="2" t="s">
        <v>1880</v>
      </c>
      <c r="H269" s="3" t="s">
        <v>1881</v>
      </c>
      <c r="I269" s="2" t="str">
        <f aca="false">CONCATENATE("http://www.wikidata.org/entity/",H269)</f>
        <v>http://www.wikidata.org/entity/Q2378505</v>
      </c>
      <c r="J269" s="3"/>
      <c r="L269" s="3"/>
      <c r="N269" s="3"/>
      <c r="P269" s="3" t="n">
        <v>300440759</v>
      </c>
      <c r="Q269" s="2" t="str">
        <f aca="false">CONCATENATE("https://vocab.getty.edu/aat/",P269)</f>
        <v>https://vocab.getty.edu/aat/300440759</v>
      </c>
      <c r="R269" s="2" t="s">
        <v>1878</v>
      </c>
      <c r="S269" s="2" t="s">
        <v>1880</v>
      </c>
      <c r="X269" s="2" t="n">
        <v>0</v>
      </c>
      <c r="Y269" s="2" t="n">
        <v>1</v>
      </c>
      <c r="AG269" s="4"/>
    </row>
    <row r="270" s="2" customFormat="true" ht="12.8" hidden="false" customHeight="false" outlineLevel="0" collapsed="false">
      <c r="A270" s="1" t="s">
        <v>1882</v>
      </c>
      <c r="B270" s="2" t="n">
        <v>257</v>
      </c>
      <c r="D270" s="2" t="s">
        <v>1883</v>
      </c>
      <c r="E270" s="2" t="s">
        <v>1884</v>
      </c>
      <c r="F270" s="2" t="s">
        <v>1885</v>
      </c>
      <c r="G270" s="2" t="s">
        <v>174</v>
      </c>
      <c r="H270" s="3" t="s">
        <v>1886</v>
      </c>
      <c r="I270" s="2" t="str">
        <f aca="false">CONCATENATE("http://www.wikidata.org/entity/",H270)</f>
        <v>http://www.wikidata.org/entity/Q36180</v>
      </c>
      <c r="J270" s="3" t="s">
        <v>176</v>
      </c>
      <c r="K270" s="2" t="str">
        <f aca="false">CONCATENATE("https://d-nb.info/gnd/",J270)</f>
        <v>https://d-nb.info/gnd/4003982-1</v>
      </c>
      <c r="L270" s="3" t="s">
        <v>177</v>
      </c>
      <c r="M270" s="2" t="str">
        <f aca="false">CONCATENATE("https://d-nb.info/gnd/",L270)</f>
        <v>https://d-nb.info/gnd/4258697-5</v>
      </c>
      <c r="N270" s="3"/>
      <c r="P270" s="3" t="n">
        <v>300448851</v>
      </c>
      <c r="Q270" s="2" t="str">
        <f aca="false">CONCATENATE("https://vocab.getty.edu/aat/",P270)</f>
        <v>https://vocab.getty.edu/aat/300448851</v>
      </c>
      <c r="R270" s="2" t="s">
        <v>1883</v>
      </c>
      <c r="S270" s="2" t="s">
        <v>1885</v>
      </c>
      <c r="X270" s="2" t="n">
        <v>0</v>
      </c>
      <c r="Y270" s="2" t="n">
        <v>0</v>
      </c>
      <c r="AG270" s="4"/>
    </row>
    <row r="271" s="2" customFormat="true" ht="12.8" hidden="false" customHeight="false" outlineLevel="0" collapsed="false">
      <c r="A271" s="1" t="s">
        <v>1887</v>
      </c>
      <c r="B271" s="2" t="n">
        <v>258</v>
      </c>
      <c r="D271" s="2" t="s">
        <v>1888</v>
      </c>
      <c r="E271" s="2" t="s">
        <v>1889</v>
      </c>
      <c r="F271" s="2" t="s">
        <v>1890</v>
      </c>
      <c r="H271" s="3" t="s">
        <v>1891</v>
      </c>
      <c r="I271" s="2" t="str">
        <f aca="false">CONCATENATE("http://www.wikidata.org/entity/",H271)</f>
        <v>http://www.wikidata.org/entity/Q2516866</v>
      </c>
      <c r="J271" s="3" t="s">
        <v>1892</v>
      </c>
      <c r="K271" s="2" t="str">
        <f aca="false">CONCATENATE("https://d-nb.info/gnd/",J271)</f>
        <v>https://d-nb.info/gnd/4138343-6</v>
      </c>
      <c r="L271" s="3" t="s">
        <v>1893</v>
      </c>
      <c r="M271" s="2" t="str">
        <f aca="false">CONCATENATE("https://d-nb.info/gnd/",L271)</f>
        <v>https://d-nb.info/gnd/4266720-3</v>
      </c>
      <c r="N271" s="3"/>
      <c r="P271" s="3" t="n">
        <v>300025574</v>
      </c>
      <c r="Q271" s="2" t="str">
        <f aca="false">CONCATENATE("https://vocab.getty.edu/aat/",P271)</f>
        <v>https://vocab.getty.edu/aat/300025574</v>
      </c>
      <c r="R271" s="2" t="s">
        <v>1888</v>
      </c>
      <c r="S271" s="2" t="s">
        <v>1890</v>
      </c>
      <c r="X271" s="2" t="n">
        <v>0</v>
      </c>
      <c r="Y271" s="2" t="n">
        <v>0</v>
      </c>
      <c r="AG271" s="4"/>
    </row>
    <row r="272" s="2" customFormat="true" ht="12.8" hidden="false" customHeight="false" outlineLevel="0" collapsed="false">
      <c r="A272" s="1" t="s">
        <v>1894</v>
      </c>
      <c r="B272" s="2" t="n">
        <v>259</v>
      </c>
      <c r="C272" s="2" t="n">
        <v>258</v>
      </c>
      <c r="D272" s="2" t="s">
        <v>1895</v>
      </c>
      <c r="E272" s="2" t="s">
        <v>1896</v>
      </c>
      <c r="F272" s="2" t="s">
        <v>1897</v>
      </c>
      <c r="H272" s="3" t="s">
        <v>1898</v>
      </c>
      <c r="I272" s="2" t="str">
        <f aca="false">CONCATENATE("http://www.wikidata.org/entity/",H272)</f>
        <v>http://www.wikidata.org/entity/Q222836</v>
      </c>
      <c r="J272" s="3" t="s">
        <v>1899</v>
      </c>
      <c r="K272" s="2" t="str">
        <f aca="false">CONCATENATE("https://d-nb.info/gnd/",J272)</f>
        <v>https://d-nb.info/gnd/4398799-0</v>
      </c>
      <c r="L272" s="3" t="s">
        <v>1900</v>
      </c>
      <c r="M272" s="2" t="str">
        <f aca="false">CONCATENATE("https://d-nb.info/gnd/",L272)</f>
        <v>https://d-nb.info/gnd/7628960-6</v>
      </c>
      <c r="N272" s="3"/>
      <c r="P272" s="3"/>
      <c r="R272" s="2" t="s">
        <v>1901</v>
      </c>
      <c r="S272" s="2" t="s">
        <v>1902</v>
      </c>
      <c r="X272" s="2" t="n">
        <v>0</v>
      </c>
      <c r="Y272" s="2" t="n">
        <v>0</v>
      </c>
      <c r="AG272" s="4"/>
    </row>
    <row r="273" s="2" customFormat="true" ht="12.8" hidden="false" customHeight="false" outlineLevel="0" collapsed="false">
      <c r="A273" s="1" t="s">
        <v>1903</v>
      </c>
      <c r="B273" s="2" t="n">
        <v>260</v>
      </c>
      <c r="D273" s="2" t="s">
        <v>1904</v>
      </c>
      <c r="F273" s="2" t="s">
        <v>1905</v>
      </c>
      <c r="H273" s="3" t="s">
        <v>1906</v>
      </c>
      <c r="I273" s="2" t="str">
        <f aca="false">CONCATENATE("http://www.wikidata.org/entity/",H273)</f>
        <v>http://www.wikidata.org/entity/Q12540664</v>
      </c>
      <c r="J273" s="3" t="s">
        <v>1907</v>
      </c>
      <c r="K273" s="2" t="str">
        <f aca="false">CONCATENATE("https://d-nb.info/gnd/",J273)</f>
        <v>https://d-nb.info/gnd/4127117-8</v>
      </c>
      <c r="L273" s="3" t="s">
        <v>1907</v>
      </c>
      <c r="M273" s="2" t="str">
        <f aca="false">CONCATENATE("https://d-nb.info/gnd/",L273)</f>
        <v>https://d-nb.info/gnd/4127117-8</v>
      </c>
      <c r="N273" s="3"/>
      <c r="P273" s="3" t="n">
        <v>300404885</v>
      </c>
      <c r="Q273" s="2" t="str">
        <f aca="false">CONCATENATE("https://vocab.getty.edu/aat/",P273)</f>
        <v>https://vocab.getty.edu/aat/300404885</v>
      </c>
      <c r="R273" s="2" t="s">
        <v>1904</v>
      </c>
      <c r="S273" s="2" t="s">
        <v>1905</v>
      </c>
      <c r="X273" s="2" t="n">
        <v>0</v>
      </c>
      <c r="Y273" s="2" t="n">
        <v>0</v>
      </c>
      <c r="AG273" s="4"/>
    </row>
    <row r="274" s="2" customFormat="true" ht="12.8" hidden="false" customHeight="false" outlineLevel="0" collapsed="false">
      <c r="A274" s="1" t="s">
        <v>1908</v>
      </c>
      <c r="B274" s="2" t="n">
        <v>261</v>
      </c>
      <c r="D274" s="2" t="s">
        <v>1909</v>
      </c>
      <c r="E274" s="2" t="s">
        <v>1910</v>
      </c>
      <c r="F274" s="2" t="s">
        <v>1911</v>
      </c>
      <c r="H274" s="3" t="s">
        <v>1912</v>
      </c>
      <c r="I274" s="2" t="str">
        <f aca="false">CONCATENATE("http://www.wikidata.org/entity/",H274)</f>
        <v>http://www.wikidata.org/entity/Q1146822</v>
      </c>
      <c r="J274" s="3" t="s">
        <v>1913</v>
      </c>
      <c r="K274" s="2" t="str">
        <f aca="false">CONCATENATE("https://d-nb.info/gnd/",J274)</f>
        <v>https://d-nb.info/gnd/4259542-3</v>
      </c>
      <c r="L274" s="3" t="s">
        <v>1913</v>
      </c>
      <c r="M274" s="2" t="str">
        <f aca="false">CONCATENATE("https://d-nb.info/gnd/",L274)</f>
        <v>https://d-nb.info/gnd/4259542-3</v>
      </c>
      <c r="N274" s="3" t="s">
        <v>1913</v>
      </c>
      <c r="O274" s="2" t="str">
        <f aca="false">CONCATENATE("https://d-nb.info/gnd/",N274)</f>
        <v>https://d-nb.info/gnd/4259542-3</v>
      </c>
      <c r="P274" s="3"/>
      <c r="R274" s="2" t="s">
        <v>1909</v>
      </c>
      <c r="S274" s="2" t="s">
        <v>1911</v>
      </c>
      <c r="X274" s="2" t="n">
        <v>0</v>
      </c>
      <c r="Y274" s="2" t="n">
        <v>0</v>
      </c>
      <c r="AG274" s="4"/>
    </row>
    <row r="275" s="2" customFormat="true" ht="12.8" hidden="false" customHeight="false" outlineLevel="0" collapsed="false">
      <c r="A275" s="1" t="s">
        <v>1914</v>
      </c>
      <c r="B275" s="2" t="n">
        <v>262</v>
      </c>
      <c r="D275" s="2" t="s">
        <v>1915</v>
      </c>
      <c r="E275" s="2" t="s">
        <v>1916</v>
      </c>
      <c r="F275" s="2" t="s">
        <v>1463</v>
      </c>
      <c r="H275" s="3" t="s">
        <v>1917</v>
      </c>
      <c r="I275" s="2" t="str">
        <f aca="false">CONCATENATE("http://www.wikidata.org/entity/",H275)</f>
        <v>http://www.wikidata.org/entity/Q2643890</v>
      </c>
      <c r="J275" s="3"/>
      <c r="L275" s="3"/>
      <c r="N275" s="3"/>
      <c r="P275" s="3"/>
      <c r="R275" s="2" t="s">
        <v>1915</v>
      </c>
      <c r="S275" s="2" t="s">
        <v>1463</v>
      </c>
      <c r="X275" s="2" t="n">
        <v>0</v>
      </c>
      <c r="Y275" s="2" t="n">
        <v>1</v>
      </c>
      <c r="AG275" s="4"/>
    </row>
    <row r="276" s="2" customFormat="true" ht="12.8" hidden="false" customHeight="false" outlineLevel="0" collapsed="false">
      <c r="A276" s="1" t="s">
        <v>1918</v>
      </c>
      <c r="B276" s="2" t="n">
        <v>263</v>
      </c>
      <c r="C276" s="2" t="n">
        <v>262</v>
      </c>
      <c r="D276" s="2" t="s">
        <v>1919</v>
      </c>
      <c r="E276" s="2" t="s">
        <v>1920</v>
      </c>
      <c r="F276" s="2" t="s">
        <v>1921</v>
      </c>
      <c r="H276" s="3" t="s">
        <v>1922</v>
      </c>
      <c r="I276" s="2" t="str">
        <f aca="false">CONCATENATE("http://www.wikidata.org/entity/",H276)</f>
        <v>http://www.wikidata.org/entity/Q13391399</v>
      </c>
      <c r="J276" s="3" t="s">
        <v>1923</v>
      </c>
      <c r="K276" s="2" t="str">
        <f aca="false">CONCATENATE("https://d-nb.info/gnd/",J276)</f>
        <v>https://d-nb.info/gnd/4194394-6</v>
      </c>
      <c r="L276" s="3" t="s">
        <v>1924</v>
      </c>
      <c r="M276" s="2" t="str">
        <f aca="false">CONCATENATE("https://d-nb.info/gnd/",L276)</f>
        <v>https://d-nb.info/gnd/4388002-2</v>
      </c>
      <c r="N276" s="3"/>
      <c r="P276" s="3"/>
      <c r="R276" s="2" t="s">
        <v>1925</v>
      </c>
      <c r="S276" s="2" t="s">
        <v>1926</v>
      </c>
      <c r="X276" s="2" t="n">
        <v>0</v>
      </c>
      <c r="Y276" s="2" t="n">
        <v>1</v>
      </c>
      <c r="AG276" s="4"/>
    </row>
    <row r="277" s="2" customFormat="true" ht="12.8" hidden="false" customHeight="false" outlineLevel="0" collapsed="false">
      <c r="A277" s="1" t="s">
        <v>1927</v>
      </c>
      <c r="B277" s="2" t="n">
        <v>264</v>
      </c>
      <c r="C277" s="2" t="n">
        <v>262</v>
      </c>
      <c r="D277" s="2" t="s">
        <v>1928</v>
      </c>
      <c r="E277" s="2" t="s">
        <v>1929</v>
      </c>
      <c r="F277" s="2" t="s">
        <v>1930</v>
      </c>
      <c r="H277" s="3" t="s">
        <v>1931</v>
      </c>
      <c r="I277" s="2" t="str">
        <f aca="false">CONCATENATE("http://www.wikidata.org/entity/",H277)</f>
        <v>http://www.wikidata.org/entity/Q21234378</v>
      </c>
      <c r="J277" s="3" t="n">
        <v>1249882389</v>
      </c>
      <c r="K277" s="2" t="str">
        <f aca="false">CONCATENATE("https://d-nb.info/gnd/",J277)</f>
        <v>https://d-nb.info/gnd/1249882389</v>
      </c>
      <c r="L277" s="3" t="n">
        <v>1246696967</v>
      </c>
      <c r="M277" s="2" t="str">
        <f aca="false">CONCATENATE("https://d-nb.info/gnd/",L277)</f>
        <v>https://d-nb.info/gnd/1246696967</v>
      </c>
      <c r="N277" s="3"/>
      <c r="P277" s="3"/>
      <c r="R277" s="2" t="s">
        <v>1932</v>
      </c>
      <c r="S277" s="2" t="s">
        <v>1933</v>
      </c>
      <c r="X277" s="2" t="n">
        <v>0</v>
      </c>
      <c r="Y277" s="2" t="n">
        <v>1</v>
      </c>
      <c r="AG277" s="4"/>
    </row>
    <row r="278" s="2" customFormat="true" ht="12.8" hidden="false" customHeight="false" outlineLevel="0" collapsed="false">
      <c r="A278" s="1" t="s">
        <v>1934</v>
      </c>
      <c r="B278" s="2" t="n">
        <v>265</v>
      </c>
      <c r="C278" s="2" t="n">
        <v>262</v>
      </c>
      <c r="D278" s="2" t="s">
        <v>1935</v>
      </c>
      <c r="E278" s="2" t="s">
        <v>1936</v>
      </c>
      <c r="F278" s="2" t="s">
        <v>1937</v>
      </c>
      <c r="H278" s="3" t="s">
        <v>1938</v>
      </c>
      <c r="I278" s="2" t="str">
        <f aca="false">CONCATENATE("http://www.wikidata.org/entity/",H278)</f>
        <v>http://www.wikidata.org/entity/Q2252262</v>
      </c>
      <c r="J278" s="3" t="s">
        <v>1939</v>
      </c>
      <c r="K278" s="2" t="str">
        <f aca="false">CONCATENATE("https://d-nb.info/gnd/",J278)</f>
        <v>https://d-nb.info/gnd/4303534-6</v>
      </c>
      <c r="L278" s="3" t="s">
        <v>1940</v>
      </c>
      <c r="M278" s="2" t="str">
        <f aca="false">CONCATENATE("https://d-nb.info/gnd/",L278)</f>
        <v>https://d-nb.info/gnd/107257439X</v>
      </c>
      <c r="N278" s="3"/>
      <c r="P278" s="3"/>
      <c r="R278" s="2" t="s">
        <v>1941</v>
      </c>
      <c r="S278" s="2" t="s">
        <v>1942</v>
      </c>
      <c r="X278" s="2" t="n">
        <v>0</v>
      </c>
      <c r="Y278" s="2" t="n">
        <v>1</v>
      </c>
      <c r="AG278" s="4"/>
    </row>
    <row r="279" s="2" customFormat="true" ht="12.8" hidden="false" customHeight="false" outlineLevel="0" collapsed="false">
      <c r="A279" s="1" t="s">
        <v>1943</v>
      </c>
      <c r="B279" s="2" t="n">
        <v>266</v>
      </c>
      <c r="D279" s="2" t="s">
        <v>1944</v>
      </c>
      <c r="E279" s="2" t="s">
        <v>1945</v>
      </c>
      <c r="F279" s="2" t="s">
        <v>1946</v>
      </c>
      <c r="H279" s="3" t="s">
        <v>1947</v>
      </c>
      <c r="I279" s="2" t="str">
        <f aca="false">CONCATENATE("http://www.wikidata.org/entity/",H279)</f>
        <v>http://www.wikidata.org/entity/Q9379869</v>
      </c>
      <c r="J279" s="3"/>
      <c r="L279" s="3"/>
      <c r="N279" s="3"/>
      <c r="P279" s="3" t="n">
        <v>300136462</v>
      </c>
      <c r="Q279" s="2" t="str">
        <f aca="false">CONCATENATE("https://vocab.getty.edu/aat/",P279)</f>
        <v>https://vocab.getty.edu/aat/300136462</v>
      </c>
      <c r="R279" s="2" t="s">
        <v>1944</v>
      </c>
      <c r="S279" s="2" t="s">
        <v>1946</v>
      </c>
      <c r="X279" s="2" t="n">
        <v>0</v>
      </c>
      <c r="Y279" s="2" t="n">
        <v>0</v>
      </c>
      <c r="AG279" s="4"/>
    </row>
    <row r="280" s="2" customFormat="true" ht="12.8" hidden="false" customHeight="false" outlineLevel="0" collapsed="false">
      <c r="A280" s="1" t="s">
        <v>1948</v>
      </c>
      <c r="B280" s="2" t="n">
        <v>267</v>
      </c>
      <c r="D280" s="2" t="s">
        <v>1949</v>
      </c>
      <c r="E280" s="2" t="s">
        <v>1950</v>
      </c>
      <c r="F280" s="2" t="s">
        <v>1951</v>
      </c>
      <c r="H280" s="3" t="s">
        <v>1952</v>
      </c>
      <c r="I280" s="2" t="str">
        <f aca="false">CONCATENATE("http://www.wikidata.org/entity/",H280)</f>
        <v>http://www.wikidata.org/entity/Q118371929</v>
      </c>
      <c r="J280" s="3"/>
      <c r="L280" s="3"/>
      <c r="N280" s="3"/>
      <c r="P280" s="3"/>
      <c r="R280" s="2" t="s">
        <v>1949</v>
      </c>
      <c r="S280" s="2" t="s">
        <v>1951</v>
      </c>
      <c r="X280" s="2" t="n">
        <v>0</v>
      </c>
      <c r="Y280" s="2" t="n">
        <v>0</v>
      </c>
      <c r="AG280" s="4"/>
    </row>
    <row r="281" s="2" customFormat="true" ht="12.8" hidden="false" customHeight="false" outlineLevel="0" collapsed="false">
      <c r="A281" s="1" t="s">
        <v>1953</v>
      </c>
      <c r="B281" s="2" t="n">
        <v>268</v>
      </c>
      <c r="C281" s="2" t="n">
        <v>265</v>
      </c>
      <c r="D281" s="2" t="s">
        <v>1954</v>
      </c>
      <c r="E281" s="2" t="s">
        <v>1955</v>
      </c>
      <c r="F281" s="2" t="s">
        <v>1956</v>
      </c>
      <c r="H281" s="3" t="s">
        <v>1957</v>
      </c>
      <c r="I281" s="2" t="str">
        <f aca="false">CONCATENATE("http://www.wikidata.org/entity/",H281)</f>
        <v>http://www.wikidata.org/entity/Q4110598</v>
      </c>
      <c r="J281" s="3"/>
      <c r="L281" s="3"/>
      <c r="N281" s="3"/>
      <c r="P281" s="3"/>
      <c r="R281" s="2" t="s">
        <v>1958</v>
      </c>
      <c r="S281" s="2" t="s">
        <v>1959</v>
      </c>
      <c r="X281" s="2" t="n">
        <v>0</v>
      </c>
      <c r="Y281" s="2" t="n">
        <v>0</v>
      </c>
      <c r="AG281" s="4"/>
    </row>
    <row r="282" s="2" customFormat="true" ht="12.8" hidden="false" customHeight="false" outlineLevel="0" collapsed="false">
      <c r="A282" s="1" t="s">
        <v>1960</v>
      </c>
      <c r="B282" s="2" t="n">
        <v>269</v>
      </c>
      <c r="D282" s="2" t="s">
        <v>1961</v>
      </c>
      <c r="E282" s="2" t="s">
        <v>1962</v>
      </c>
      <c r="F282" s="2" t="s">
        <v>1963</v>
      </c>
      <c r="H282" s="3" t="s">
        <v>1964</v>
      </c>
      <c r="I282" s="2" t="str">
        <f aca="false">CONCATENATE("http://www.wikidata.org/entity/",H282)</f>
        <v>http://www.wikidata.org/entity/Q28008298</v>
      </c>
      <c r="J282" s="3"/>
      <c r="L282" s="3"/>
      <c r="N282" s="3"/>
      <c r="P282" s="3" t="n">
        <v>300121765</v>
      </c>
      <c r="Q282" s="2" t="str">
        <f aca="false">CONCATENATE("https://vocab.getty.edu/aat/",P282)</f>
        <v>https://vocab.getty.edu/aat/300121765</v>
      </c>
      <c r="R282" s="2" t="s">
        <v>1961</v>
      </c>
      <c r="S282" s="2" t="s">
        <v>1963</v>
      </c>
      <c r="X282" s="2" t="n">
        <v>0</v>
      </c>
      <c r="Y282" s="2" t="n">
        <v>0</v>
      </c>
      <c r="AG282" s="4"/>
    </row>
    <row r="283" s="2" customFormat="true" ht="12.8" hidden="false" customHeight="false" outlineLevel="0" collapsed="false">
      <c r="A283" s="1" t="s">
        <v>1965</v>
      </c>
      <c r="B283" s="2" t="n">
        <v>270</v>
      </c>
      <c r="D283" s="2" t="s">
        <v>1966</v>
      </c>
      <c r="E283" s="2" t="s">
        <v>1967</v>
      </c>
      <c r="F283" s="2" t="s">
        <v>1968</v>
      </c>
      <c r="G283" s="2" t="s">
        <v>1969</v>
      </c>
      <c r="H283" s="3" t="s">
        <v>1970</v>
      </c>
      <c r="I283" s="2" t="str">
        <f aca="false">CONCATENATE("http://www.wikidata.org/entity/",H283)</f>
        <v>http://www.wikidata.org/entity/Q21061372</v>
      </c>
      <c r="J283" s="3" t="n">
        <v>1270770462</v>
      </c>
      <c r="K283" s="2" t="str">
        <f aca="false">CONCATENATE("https://d-nb.info/gnd/",J283)</f>
        <v>https://d-nb.info/gnd/1270770462</v>
      </c>
      <c r="L283" s="3" t="n">
        <v>1270770810</v>
      </c>
      <c r="M283" s="2" t="str">
        <f aca="false">CONCATENATE("https://d-nb.info/gnd/",L283)</f>
        <v>https://d-nb.info/gnd/1270770810</v>
      </c>
      <c r="N283" s="3"/>
      <c r="P283" s="3"/>
      <c r="R283" s="2" t="s">
        <v>1966</v>
      </c>
      <c r="S283" s="2" t="s">
        <v>1968</v>
      </c>
      <c r="X283" s="2" t="n">
        <v>0</v>
      </c>
      <c r="Y283" s="2" t="n">
        <v>0</v>
      </c>
      <c r="AG283" s="4"/>
    </row>
    <row r="284" s="2" customFormat="true" ht="12.8" hidden="false" customHeight="false" outlineLevel="0" collapsed="false">
      <c r="A284" s="1" t="s">
        <v>1971</v>
      </c>
      <c r="B284" s="2" t="n">
        <v>271</v>
      </c>
      <c r="D284" s="2" t="s">
        <v>1972</v>
      </c>
      <c r="E284" s="2" t="s">
        <v>1973</v>
      </c>
      <c r="F284" s="2" t="s">
        <v>1974</v>
      </c>
      <c r="H284" s="3" t="s">
        <v>1975</v>
      </c>
      <c r="I284" s="2" t="str">
        <f aca="false">CONCATENATE("http://www.wikidata.org/entity/",H284)</f>
        <v>http://www.wikidata.org/entity/Q123110687</v>
      </c>
      <c r="J284" s="3"/>
      <c r="L284" s="3"/>
      <c r="N284" s="3"/>
      <c r="P284" s="3"/>
      <c r="R284" s="2" t="s">
        <v>1972</v>
      </c>
      <c r="S284" s="2" t="s">
        <v>1974</v>
      </c>
      <c r="X284" s="2" t="n">
        <v>0</v>
      </c>
      <c r="Y284" s="2" t="n">
        <v>1</v>
      </c>
      <c r="AG284" s="4"/>
    </row>
    <row r="285" s="2" customFormat="true" ht="12.8" hidden="false" customHeight="false" outlineLevel="0" collapsed="false">
      <c r="A285" s="1" t="s">
        <v>1976</v>
      </c>
      <c r="B285" s="2" t="n">
        <v>272</v>
      </c>
      <c r="C285" s="2" t="n">
        <v>271</v>
      </c>
      <c r="D285" s="2" t="s">
        <v>1977</v>
      </c>
      <c r="E285" s="2" t="s">
        <v>1978</v>
      </c>
      <c r="F285" s="2" t="s">
        <v>1979</v>
      </c>
      <c r="H285" s="3" t="s">
        <v>1980</v>
      </c>
      <c r="I285" s="2" t="str">
        <f aca="false">CONCATENATE("http://www.wikidata.org/entity/",H285)</f>
        <v>http://www.wikidata.org/entity/Q56418646</v>
      </c>
      <c r="J285" s="3"/>
      <c r="L285" s="3"/>
      <c r="N285" s="3"/>
      <c r="P285" s="3"/>
      <c r="R285" s="2" t="s">
        <v>1981</v>
      </c>
      <c r="S285" s="2" t="s">
        <v>1982</v>
      </c>
      <c r="X285" s="2" t="n">
        <v>0</v>
      </c>
      <c r="Y285" s="2" t="n">
        <v>1</v>
      </c>
      <c r="AG285" s="4"/>
    </row>
    <row r="286" s="2" customFormat="true" ht="12.8" hidden="false" customHeight="false" outlineLevel="0" collapsed="false">
      <c r="A286" s="1" t="s">
        <v>1983</v>
      </c>
      <c r="B286" s="2" t="n">
        <v>273</v>
      </c>
      <c r="C286" s="2" t="n">
        <v>271</v>
      </c>
      <c r="D286" s="2" t="s">
        <v>1984</v>
      </c>
      <c r="E286" s="2" t="s">
        <v>1985</v>
      </c>
      <c r="F286" s="2" t="s">
        <v>1986</v>
      </c>
      <c r="G286" s="2" t="s">
        <v>1987</v>
      </c>
      <c r="H286" s="3" t="s">
        <v>1988</v>
      </c>
      <c r="I286" s="2" t="str">
        <f aca="false">CONCATENATE("http://www.wikidata.org/entity/",H286)</f>
        <v>http://www.wikidata.org/entity/Q9648008</v>
      </c>
      <c r="J286" s="3" t="s">
        <v>1989</v>
      </c>
      <c r="K286" s="2" t="str">
        <f aca="false">CONCATENATE("https://d-nb.info/gnd/",J286)</f>
        <v>https://d-nb.info/gnd/7520692-4</v>
      </c>
      <c r="L286" s="3" t="s">
        <v>1990</v>
      </c>
      <c r="M286" s="2" t="str">
        <f aca="false">CONCATENATE("https://d-nb.info/gnd/",L286)</f>
        <v>https://d-nb.info/gnd/7553272-4</v>
      </c>
      <c r="N286" s="3"/>
      <c r="P286" s="3" t="n">
        <v>300235019</v>
      </c>
      <c r="Q286" s="2" t="str">
        <f aca="false">CONCATENATE("https://vocab.getty.edu/aat/",P286)</f>
        <v>https://vocab.getty.edu/aat/300235019</v>
      </c>
      <c r="R286" s="2" t="s">
        <v>1991</v>
      </c>
      <c r="S286" s="2" t="s">
        <v>1992</v>
      </c>
      <c r="X286" s="2" t="n">
        <v>0</v>
      </c>
      <c r="Y286" s="2" t="n">
        <v>1</v>
      </c>
      <c r="AG286" s="4"/>
    </row>
    <row r="287" s="2" customFormat="true" ht="12.8" hidden="false" customHeight="false" outlineLevel="0" collapsed="false">
      <c r="A287" s="1" t="s">
        <v>1993</v>
      </c>
      <c r="B287" s="2" t="n">
        <v>274</v>
      </c>
      <c r="C287" s="2" t="n">
        <v>271</v>
      </c>
      <c r="D287" s="2" t="s">
        <v>1994</v>
      </c>
      <c r="E287" s="2" t="s">
        <v>1995</v>
      </c>
      <c r="F287" s="2" t="s">
        <v>1996</v>
      </c>
      <c r="G287" s="2" t="s">
        <v>1997</v>
      </c>
      <c r="H287" s="3" t="s">
        <v>1998</v>
      </c>
      <c r="I287" s="2" t="str">
        <f aca="false">CONCATENATE("http://www.wikidata.org/entity/",H287)</f>
        <v>http://www.wikidata.org/entity/Q584301</v>
      </c>
      <c r="J287" s="3"/>
      <c r="L287" s="3"/>
      <c r="N287" s="3"/>
      <c r="P287" s="3" t="n">
        <v>300235037</v>
      </c>
      <c r="Q287" s="2" t="str">
        <f aca="false">CONCATENATE("https://vocab.getty.edu/aat/",P287)</f>
        <v>https://vocab.getty.edu/aat/300235037</v>
      </c>
      <c r="R287" s="2" t="s">
        <v>1999</v>
      </c>
      <c r="S287" s="2" t="s">
        <v>2000</v>
      </c>
      <c r="X287" s="2" t="n">
        <v>0</v>
      </c>
      <c r="Y287" s="2" t="n">
        <v>1</v>
      </c>
      <c r="AG287" s="4"/>
    </row>
    <row r="288" s="2" customFormat="true" ht="12.8" hidden="false" customHeight="false" outlineLevel="0" collapsed="false">
      <c r="A288" s="1" t="s">
        <v>2001</v>
      </c>
      <c r="B288" s="2" t="n">
        <v>275</v>
      </c>
      <c r="C288" s="2" t="n">
        <v>271</v>
      </c>
      <c r="D288" s="2" t="s">
        <v>2002</v>
      </c>
      <c r="E288" s="2" t="s">
        <v>2003</v>
      </c>
      <c r="F288" s="2" t="s">
        <v>2004</v>
      </c>
      <c r="H288" s="3" t="s">
        <v>2005</v>
      </c>
      <c r="I288" s="2" t="str">
        <f aca="false">CONCATENATE("http://www.wikidata.org/entity/",H288)</f>
        <v>http://www.wikidata.org/entity/Q855091</v>
      </c>
      <c r="J288" s="3" t="s">
        <v>2006</v>
      </c>
      <c r="K288" s="2" t="str">
        <f aca="false">CONCATENATE("https://d-nb.info/gnd/",J288)</f>
        <v>https://d-nb.info/gnd/4157372-9</v>
      </c>
      <c r="L288" s="3" t="s">
        <v>2007</v>
      </c>
      <c r="M288" s="2" t="str">
        <f aca="false">CONCATENATE("https://d-nb.info/gnd/",L288)</f>
        <v>https://d-nb.info/gnd/7553322-4</v>
      </c>
      <c r="N288" s="3"/>
      <c r="P288" s="3" t="n">
        <v>300235042</v>
      </c>
      <c r="Q288" s="2" t="str">
        <f aca="false">CONCATENATE("https://vocab.getty.edu/aat/",P288)</f>
        <v>https://vocab.getty.edu/aat/300235042</v>
      </c>
      <c r="R288" s="2" t="s">
        <v>2008</v>
      </c>
      <c r="S288" s="2" t="s">
        <v>2009</v>
      </c>
      <c r="X288" s="2" t="n">
        <v>0</v>
      </c>
      <c r="Y288" s="2" t="n">
        <v>1</v>
      </c>
      <c r="AG288" s="4"/>
    </row>
    <row r="289" s="2" customFormat="true" ht="12.8" hidden="false" customHeight="false" outlineLevel="0" collapsed="false">
      <c r="A289" s="1" t="s">
        <v>2010</v>
      </c>
      <c r="B289" s="2" t="n">
        <v>276</v>
      </c>
      <c r="C289" s="2" t="n">
        <v>275</v>
      </c>
      <c r="D289" s="2" t="s">
        <v>2011</v>
      </c>
      <c r="E289" s="2" t="s">
        <v>2012</v>
      </c>
      <c r="F289" s="2" t="s">
        <v>2013</v>
      </c>
      <c r="H289" s="3" t="s">
        <v>2014</v>
      </c>
      <c r="I289" s="2" t="str">
        <f aca="false">CONCATENATE("http://www.wikidata.org/entity/",H289)</f>
        <v>http://www.wikidata.org/entity/Q901192</v>
      </c>
      <c r="J289" s="3"/>
      <c r="L289" s="3"/>
      <c r="N289" s="3"/>
      <c r="P289" s="3"/>
      <c r="R289" s="2" t="s">
        <v>2015</v>
      </c>
      <c r="S289" s="2" t="s">
        <v>2016</v>
      </c>
      <c r="X289" s="2" t="n">
        <v>0</v>
      </c>
      <c r="Y289" s="2" t="n">
        <v>1</v>
      </c>
      <c r="AG289" s="4"/>
    </row>
    <row r="290" s="2" customFormat="true" ht="12.8" hidden="false" customHeight="false" outlineLevel="0" collapsed="false">
      <c r="A290" s="1" t="s">
        <v>2017</v>
      </c>
      <c r="B290" s="2" t="n">
        <v>277</v>
      </c>
      <c r="C290" s="2" t="n">
        <v>275</v>
      </c>
      <c r="D290" s="2" t="s">
        <v>2018</v>
      </c>
      <c r="E290" s="2" t="s">
        <v>2019</v>
      </c>
      <c r="F290" s="2" t="s">
        <v>2020</v>
      </c>
      <c r="H290" s="3" t="s">
        <v>2021</v>
      </c>
      <c r="I290" s="2" t="str">
        <f aca="false">CONCATENATE("http://www.wikidata.org/entity/",H290)</f>
        <v>http://www.wikidata.org/entity/Q61045547</v>
      </c>
      <c r="J290" s="3"/>
      <c r="L290" s="3"/>
      <c r="N290" s="3"/>
      <c r="P290" s="3"/>
      <c r="R290" s="2" t="s">
        <v>2022</v>
      </c>
      <c r="S290" s="2" t="s">
        <v>2023</v>
      </c>
      <c r="X290" s="2" t="n">
        <v>0</v>
      </c>
      <c r="Y290" s="2" t="n">
        <v>1</v>
      </c>
      <c r="AG290" s="4"/>
    </row>
    <row r="291" s="2" customFormat="true" ht="12.8" hidden="false" customHeight="false" outlineLevel="0" collapsed="false">
      <c r="A291" s="1" t="s">
        <v>2024</v>
      </c>
      <c r="B291" s="2" t="n">
        <v>278</v>
      </c>
      <c r="C291" s="2" t="n">
        <v>271</v>
      </c>
      <c r="D291" s="2" t="s">
        <v>2025</v>
      </c>
      <c r="E291" s="2" t="s">
        <v>2026</v>
      </c>
      <c r="F291" s="2" t="s">
        <v>2027</v>
      </c>
      <c r="H291" s="3" t="s">
        <v>2028</v>
      </c>
      <c r="I291" s="2" t="str">
        <f aca="false">CONCATENATE("http://www.wikidata.org/entity/",H291)</f>
        <v>http://www.wikidata.org/entity/Q3127709</v>
      </c>
      <c r="J291" s="3" t="s">
        <v>2029</v>
      </c>
      <c r="K291" s="2" t="str">
        <f aca="false">CONCATENATE("https://d-nb.info/gnd/",J291)</f>
        <v>https://d-nb.info/gnd/4272861-7</v>
      </c>
      <c r="L291" s="3" t="s">
        <v>2030</v>
      </c>
      <c r="M291" s="2" t="str">
        <f aca="false">CONCATENATE("https://d-nb.info/gnd/",L291)</f>
        <v>https://d-nb.info/gnd/4712027-7</v>
      </c>
      <c r="N291" s="3"/>
      <c r="P291" s="3" t="n">
        <v>300235057</v>
      </c>
      <c r="Q291" s="2" t="str">
        <f aca="false">CONCATENATE("https://vocab.getty.edu/aat/",P291)</f>
        <v>https://vocab.getty.edu/aat/300235057</v>
      </c>
      <c r="R291" s="2" t="s">
        <v>2031</v>
      </c>
      <c r="S291" s="2" t="s">
        <v>2032</v>
      </c>
      <c r="X291" s="2" t="n">
        <v>0</v>
      </c>
      <c r="Y291" s="2" t="n">
        <v>1</v>
      </c>
      <c r="AG291" s="4"/>
    </row>
    <row r="292" s="2" customFormat="true" ht="12.8" hidden="false" customHeight="false" outlineLevel="0" collapsed="false">
      <c r="A292" s="1" t="s">
        <v>2033</v>
      </c>
      <c r="B292" s="2" t="n">
        <v>279</v>
      </c>
      <c r="C292" s="2" t="n">
        <v>271</v>
      </c>
      <c r="D292" s="2" t="s">
        <v>2034</v>
      </c>
      <c r="E292" s="2" t="s">
        <v>2035</v>
      </c>
      <c r="F292" s="2" t="s">
        <v>2036</v>
      </c>
      <c r="H292" s="3" t="s">
        <v>2037</v>
      </c>
      <c r="I292" s="2" t="str">
        <f aca="false">CONCATENATE("http://www.wikidata.org/entity/",H292)</f>
        <v>http://www.wikidata.org/entity/Q21166956</v>
      </c>
      <c r="J292" s="3" t="s">
        <v>2038</v>
      </c>
      <c r="K292" s="2" t="str">
        <f aca="false">CONCATENATE("https://d-nb.info/gnd/",J292)</f>
        <v>https://d-nb.info/gnd/4606716-4</v>
      </c>
      <c r="L292" s="3" t="s">
        <v>2039</v>
      </c>
      <c r="M292" s="2" t="str">
        <f aca="false">CONCATENATE("https://d-nb.info/gnd/",L292)</f>
        <v>https://d-nb.info/gnd/4685940-8</v>
      </c>
      <c r="N292" s="3"/>
      <c r="P292" s="3" t="n">
        <v>300235043</v>
      </c>
      <c r="Q292" s="2" t="str">
        <f aca="false">CONCATENATE("https://vocab.getty.edu/aat/",P292)</f>
        <v>https://vocab.getty.edu/aat/300235043</v>
      </c>
      <c r="R292" s="2" t="s">
        <v>2040</v>
      </c>
      <c r="S292" s="2" t="s">
        <v>2041</v>
      </c>
      <c r="X292" s="2" t="n">
        <v>0</v>
      </c>
      <c r="Y292" s="2" t="n">
        <v>1</v>
      </c>
      <c r="AG292" s="4"/>
    </row>
    <row r="293" s="2" customFormat="true" ht="12.8" hidden="false" customHeight="false" outlineLevel="0" collapsed="false">
      <c r="A293" s="1" t="s">
        <v>2042</v>
      </c>
      <c r="B293" s="2" t="n">
        <v>280</v>
      </c>
      <c r="C293" s="2" t="n">
        <v>271</v>
      </c>
      <c r="D293" s="2" t="s">
        <v>2043</v>
      </c>
      <c r="E293" s="2" t="s">
        <v>2044</v>
      </c>
      <c r="F293" s="2" t="s">
        <v>2045</v>
      </c>
      <c r="H293" s="3" t="s">
        <v>2046</v>
      </c>
      <c r="I293" s="2" t="str">
        <f aca="false">CONCATENATE("http://www.wikidata.org/entity/",H293)</f>
        <v>http://www.wikidata.org/entity/Q19723482</v>
      </c>
      <c r="J293" s="3" t="s">
        <v>2047</v>
      </c>
      <c r="K293" s="2" t="str">
        <f aca="false">CONCATENATE("https://d-nb.info/gnd/",J293)</f>
        <v>https://d-nb.info/gnd/7553345-5</v>
      </c>
      <c r="L293" s="3" t="s">
        <v>2048</v>
      </c>
      <c r="M293" s="2" t="str">
        <f aca="false">CONCATENATE("https://d-nb.info/gnd/",L293)</f>
        <v>https://d-nb.info/gnd/7553344-3</v>
      </c>
      <c r="N293" s="3"/>
      <c r="P293" s="3"/>
      <c r="R293" s="2" t="s">
        <v>2049</v>
      </c>
      <c r="S293" s="2" t="s">
        <v>2050</v>
      </c>
      <c r="X293" s="2" t="n">
        <v>0</v>
      </c>
      <c r="Y293" s="2" t="n">
        <v>1</v>
      </c>
      <c r="AG293" s="4"/>
    </row>
    <row r="294" s="2" customFormat="true" ht="12.8" hidden="false" customHeight="false" outlineLevel="0" collapsed="false">
      <c r="A294" s="1" t="s">
        <v>2051</v>
      </c>
      <c r="B294" s="2" t="n">
        <v>281</v>
      </c>
      <c r="C294" s="2" t="n">
        <v>271</v>
      </c>
      <c r="D294" s="2" t="s">
        <v>2052</v>
      </c>
      <c r="E294" s="2" t="s">
        <v>2053</v>
      </c>
      <c r="F294" s="2" t="s">
        <v>2054</v>
      </c>
      <c r="H294" s="3" t="s">
        <v>2055</v>
      </c>
      <c r="I294" s="2" t="str">
        <f aca="false">CONCATENATE("http://www.wikidata.org/entity/",H294)</f>
        <v>http://www.wikidata.org/entity/Q60643157</v>
      </c>
      <c r="J294" s="3"/>
      <c r="L294" s="3"/>
      <c r="N294" s="3"/>
      <c r="P294" s="3"/>
      <c r="R294" s="2" t="s">
        <v>2056</v>
      </c>
      <c r="S294" s="2" t="s">
        <v>2057</v>
      </c>
      <c r="X294" s="2" t="n">
        <v>0</v>
      </c>
      <c r="Y294" s="2" t="n">
        <v>1</v>
      </c>
      <c r="AG294" s="4"/>
    </row>
    <row r="295" s="2" customFormat="true" ht="12.8" hidden="false" customHeight="false" outlineLevel="0" collapsed="false">
      <c r="A295" s="1" t="s">
        <v>2058</v>
      </c>
      <c r="B295" s="2" t="n">
        <v>282</v>
      </c>
      <c r="C295" s="2" t="n">
        <v>271</v>
      </c>
      <c r="D295" s="2" t="s">
        <v>2059</v>
      </c>
      <c r="E295" s="2" t="s">
        <v>2060</v>
      </c>
      <c r="F295" s="2" t="s">
        <v>2061</v>
      </c>
      <c r="H295" s="3" t="s">
        <v>2062</v>
      </c>
      <c r="I295" s="2" t="str">
        <f aca="false">CONCATENATE("http://www.wikidata.org/entity/",H295)</f>
        <v>http://www.wikidata.org/entity/Q55977806</v>
      </c>
      <c r="J295" s="3" t="s">
        <v>2063</v>
      </c>
      <c r="K295" s="2" t="str">
        <f aca="false">CONCATENATE("https://d-nb.info/gnd/",J295)</f>
        <v>https://d-nb.info/gnd/7553302-9</v>
      </c>
      <c r="L295" s="3" t="s">
        <v>2064</v>
      </c>
      <c r="M295" s="2" t="str">
        <f aca="false">CONCATENATE("https://d-nb.info/gnd/",L295)</f>
        <v>https://d-nb.info/gnd/7553301-7</v>
      </c>
      <c r="N295" s="3"/>
      <c r="P295" s="3"/>
      <c r="R295" s="2" t="s">
        <v>2065</v>
      </c>
      <c r="S295" s="2" t="s">
        <v>2066</v>
      </c>
      <c r="X295" s="2" t="n">
        <v>0</v>
      </c>
      <c r="Y295" s="2" t="n">
        <v>1</v>
      </c>
      <c r="AG295" s="4"/>
    </row>
    <row r="296" s="2" customFormat="true" ht="12.8" hidden="false" customHeight="false" outlineLevel="0" collapsed="false">
      <c r="A296" s="1" t="s">
        <v>2067</v>
      </c>
      <c r="B296" s="2" t="n">
        <v>283</v>
      </c>
      <c r="D296" s="2" t="s">
        <v>2068</v>
      </c>
      <c r="E296" s="2" t="s">
        <v>2069</v>
      </c>
      <c r="F296" s="2" t="s">
        <v>2070</v>
      </c>
      <c r="G296" s="2" t="s">
        <v>2071</v>
      </c>
      <c r="H296" s="3" t="s">
        <v>2072</v>
      </c>
      <c r="I296" s="2" t="str">
        <f aca="false">CONCATENATE("http://www.wikidata.org/entity/",H296)</f>
        <v>http://www.wikidata.org/entity/Q24238356</v>
      </c>
      <c r="J296" s="3"/>
      <c r="L296" s="3"/>
      <c r="N296" s="3"/>
      <c r="P296" s="3"/>
      <c r="R296" s="2" t="s">
        <v>2068</v>
      </c>
      <c r="S296" s="2" t="s">
        <v>2070</v>
      </c>
      <c r="X296" s="2" t="n">
        <v>0</v>
      </c>
      <c r="Y296" s="2" t="n">
        <v>0</v>
      </c>
      <c r="AG296" s="4"/>
    </row>
    <row r="297" s="2" customFormat="true" ht="12.8" hidden="false" customHeight="false" outlineLevel="0" collapsed="false">
      <c r="A297" s="1" t="s">
        <v>2073</v>
      </c>
      <c r="B297" s="2" t="n">
        <v>284</v>
      </c>
      <c r="D297" s="2" t="s">
        <v>2074</v>
      </c>
      <c r="E297" s="2" t="s">
        <v>2075</v>
      </c>
      <c r="F297" s="2" t="s">
        <v>2076</v>
      </c>
      <c r="G297" s="2" t="s">
        <v>2077</v>
      </c>
      <c r="H297" s="3" t="s">
        <v>2078</v>
      </c>
      <c r="I297" s="2" t="str">
        <f aca="false">CONCATENATE("http://www.wikidata.org/entity/",H297)</f>
        <v>http://www.wikidata.org/entity/Q245068</v>
      </c>
      <c r="J297" s="3" t="s">
        <v>2079</v>
      </c>
      <c r="K297" s="2" t="str">
        <f aca="false">CONCATENATE("https://d-nb.info/gnd/",J297)</f>
        <v>https://d-nb.info/gnd/4164760-9</v>
      </c>
      <c r="L297" s="3" t="s">
        <v>2080</v>
      </c>
      <c r="M297" s="2" t="str">
        <f aca="false">CONCATENATE("https://d-nb.info/gnd/",L297)</f>
        <v>https://d-nb.info/gnd/4356688-1</v>
      </c>
      <c r="N297" s="3"/>
      <c r="P297" s="3"/>
      <c r="R297" s="2" t="s">
        <v>2074</v>
      </c>
      <c r="S297" s="2" t="s">
        <v>2076</v>
      </c>
      <c r="X297" s="2" t="n">
        <v>0</v>
      </c>
      <c r="Y297" s="2" t="n">
        <v>1</v>
      </c>
      <c r="AG297" s="4"/>
    </row>
    <row r="298" s="2" customFormat="true" ht="12.8" hidden="false" customHeight="false" outlineLevel="0" collapsed="false">
      <c r="A298" s="1" t="s">
        <v>2081</v>
      </c>
      <c r="B298" s="2" t="n">
        <v>285</v>
      </c>
      <c r="D298" s="2" t="s">
        <v>2082</v>
      </c>
      <c r="E298" s="2" t="s">
        <v>2083</v>
      </c>
      <c r="F298" s="2" t="s">
        <v>2084</v>
      </c>
      <c r="H298" s="3" t="s">
        <v>2085</v>
      </c>
      <c r="I298" s="2" t="str">
        <f aca="false">CONCATENATE("http://www.wikidata.org/entity/",H298)</f>
        <v>http://www.wikidata.org/entity/Q11338576</v>
      </c>
      <c r="J298" s="3" t="s">
        <v>2086</v>
      </c>
      <c r="K298" s="2" t="str">
        <f aca="false">CONCATENATE("https://d-nb.info/gnd/",J298)</f>
        <v>https://d-nb.info/gnd/4267563-7</v>
      </c>
      <c r="L298" s="3" t="s">
        <v>2087</v>
      </c>
      <c r="M298" s="2" t="str">
        <f aca="false">CONCATENATE("https://d-nb.info/gnd/",L298)</f>
        <v>https://d-nb.info/gnd/7740948-6</v>
      </c>
      <c r="N298" s="3"/>
      <c r="P298" s="3"/>
      <c r="R298" s="2" t="s">
        <v>2082</v>
      </c>
      <c r="S298" s="2" t="s">
        <v>2084</v>
      </c>
      <c r="X298" s="2" t="n">
        <v>0</v>
      </c>
      <c r="Y298" s="2" t="n">
        <v>0</v>
      </c>
      <c r="AG298" s="4"/>
    </row>
    <row r="299" s="2" customFormat="true" ht="12.8" hidden="false" customHeight="false" outlineLevel="0" collapsed="false">
      <c r="A299" s="1" t="s">
        <v>2088</v>
      </c>
      <c r="B299" s="2" t="n">
        <v>286</v>
      </c>
      <c r="C299" s="2" t="n">
        <v>154</v>
      </c>
      <c r="D299" s="2" t="s">
        <v>2089</v>
      </c>
      <c r="E299" s="2" t="s">
        <v>2090</v>
      </c>
      <c r="F299" s="2" t="s">
        <v>2091</v>
      </c>
      <c r="G299" s="2" t="s">
        <v>2092</v>
      </c>
      <c r="H299" s="3" t="s">
        <v>2093</v>
      </c>
      <c r="I299" s="2" t="str">
        <f aca="false">CONCATENATE("http://www.wikidata.org/entity/",H299)</f>
        <v>http://www.wikidata.org/entity/Q2393375</v>
      </c>
      <c r="J299" s="3" t="s">
        <v>2094</v>
      </c>
      <c r="K299" s="2" t="str">
        <f aca="false">CONCATENATE("https://d-nb.info/gnd/",J299)</f>
        <v>https://d-nb.info/gnd/4473512-1</v>
      </c>
      <c r="L299" s="3"/>
      <c r="N299" s="3"/>
      <c r="P299" s="3"/>
      <c r="R299" s="2" t="s">
        <v>2095</v>
      </c>
      <c r="S299" s="2" t="s">
        <v>2096</v>
      </c>
      <c r="X299" s="2" t="n">
        <v>0</v>
      </c>
      <c r="Y299" s="2" t="n">
        <v>1</v>
      </c>
      <c r="AG299" s="4"/>
    </row>
    <row r="300" s="2" customFormat="true" ht="12.8" hidden="false" customHeight="false" outlineLevel="0" collapsed="false">
      <c r="A300" s="1" t="s">
        <v>2097</v>
      </c>
      <c r="B300" s="2" t="n">
        <v>287</v>
      </c>
      <c r="D300" s="2" t="s">
        <v>2098</v>
      </c>
      <c r="E300" s="2" t="s">
        <v>2099</v>
      </c>
      <c r="F300" s="2" t="s">
        <v>2100</v>
      </c>
      <c r="H300" s="3" t="s">
        <v>2101</v>
      </c>
      <c r="I300" s="2" t="str">
        <f aca="false">CONCATENATE("http://www.wikidata.org/entity/",H300)</f>
        <v>http://www.wikidata.org/entity/Q2442401</v>
      </c>
      <c r="J300" s="3"/>
      <c r="L300" s="3"/>
      <c r="N300" s="3"/>
      <c r="P300" s="3"/>
      <c r="R300" s="2" t="s">
        <v>2098</v>
      </c>
      <c r="S300" s="2" t="s">
        <v>2100</v>
      </c>
      <c r="X300" s="2" t="n">
        <v>0</v>
      </c>
      <c r="Y300" s="2" t="n">
        <v>1</v>
      </c>
      <c r="AG300" s="4"/>
    </row>
    <row r="301" s="2" customFormat="true" ht="12.8" hidden="false" customHeight="false" outlineLevel="0" collapsed="false">
      <c r="A301" s="1" t="s">
        <v>2102</v>
      </c>
      <c r="B301" s="2" t="n">
        <v>288</v>
      </c>
      <c r="D301" s="2" t="s">
        <v>2103</v>
      </c>
      <c r="F301" s="2" t="s">
        <v>2104</v>
      </c>
      <c r="H301" s="3" t="s">
        <v>2105</v>
      </c>
      <c r="I301" s="2" t="str">
        <f aca="false">CONCATENATE("http://www.wikidata.org/entity/",H301)</f>
        <v>http://www.wikidata.org/entity/Q183888</v>
      </c>
      <c r="J301" s="3"/>
      <c r="L301" s="3"/>
      <c r="N301" s="3"/>
      <c r="P301" s="3"/>
      <c r="R301" s="2" t="s">
        <v>2103</v>
      </c>
      <c r="S301" s="2" t="s">
        <v>2104</v>
      </c>
      <c r="X301" s="2" t="n">
        <v>0</v>
      </c>
      <c r="Y301" s="2" t="n">
        <v>0</v>
      </c>
      <c r="AG301" s="4"/>
    </row>
    <row r="302" s="2" customFormat="true" ht="12.8" hidden="false" customHeight="false" outlineLevel="0" collapsed="false">
      <c r="A302" s="1" t="s">
        <v>2106</v>
      </c>
      <c r="B302" s="2" t="n">
        <v>289</v>
      </c>
      <c r="C302" s="2" t="n">
        <v>18</v>
      </c>
      <c r="D302" s="2" t="s">
        <v>2107</v>
      </c>
      <c r="E302" s="2" t="s">
        <v>2108</v>
      </c>
      <c r="F302" s="2" t="s">
        <v>1885</v>
      </c>
      <c r="H302" s="3" t="s">
        <v>1886</v>
      </c>
      <c r="I302" s="2" t="str">
        <f aca="false">CONCATENATE("http://www.wikidata.org/entity/",H302)</f>
        <v>http://www.wikidata.org/entity/Q36180</v>
      </c>
      <c r="J302" s="3" t="s">
        <v>2109</v>
      </c>
      <c r="K302" s="2" t="str">
        <f aca="false">CONCATENATE("https://d-nb.info/gnd/",J302)</f>
        <v>https://d-nb.info/gnd/4053309-8</v>
      </c>
      <c r="L302" s="3" t="s">
        <v>2110</v>
      </c>
      <c r="M302" s="2" t="str">
        <f aca="false">CONCATENATE("https://d-nb.info/gnd/",L302)</f>
        <v>https://d-nb.info/gnd/4053311-6</v>
      </c>
      <c r="N302" s="3"/>
      <c r="P302" s="3" t="n">
        <v>300025492</v>
      </c>
      <c r="Q302" s="2" t="str">
        <f aca="false">CONCATENATE("https://vocab.getty.edu/aat/",P302)</f>
        <v>https://vocab.getty.edu/aat/300025492</v>
      </c>
      <c r="R302" s="2" t="s">
        <v>2111</v>
      </c>
      <c r="S302" s="2" t="s">
        <v>2112</v>
      </c>
      <c r="X302" s="2" t="n">
        <v>1</v>
      </c>
      <c r="Y302" s="2" t="n">
        <v>0</v>
      </c>
      <c r="AG302" s="4"/>
    </row>
    <row r="303" s="2" customFormat="true" ht="12.8" hidden="false" customHeight="false" outlineLevel="0" collapsed="false">
      <c r="A303" s="1" t="s">
        <v>2113</v>
      </c>
      <c r="B303" s="2" t="n">
        <v>290</v>
      </c>
      <c r="C303" s="2" t="n">
        <v>289</v>
      </c>
      <c r="D303" s="2" t="s">
        <v>2114</v>
      </c>
      <c r="E303" s="2" t="s">
        <v>2115</v>
      </c>
      <c r="F303" s="2" t="s">
        <v>2116</v>
      </c>
      <c r="H303" s="3" t="s">
        <v>2117</v>
      </c>
      <c r="I303" s="2" t="str">
        <f aca="false">CONCATENATE("http://www.wikidata.org/entity/",H303)</f>
        <v>http://www.wikidata.org/entity/Q10297252</v>
      </c>
      <c r="J303" s="3" t="s">
        <v>2118</v>
      </c>
      <c r="K303" s="2" t="str">
        <f aca="false">CONCATENATE("https://d-nb.info/gnd/",J303)</f>
        <v>https://d-nb.info/gnd/7624356-4</v>
      </c>
      <c r="L303" s="3" t="s">
        <v>2119</v>
      </c>
      <c r="M303" s="2" t="str">
        <f aca="false">CONCATENATE("https://d-nb.info/gnd/",L303)</f>
        <v>https://d-nb.info/gnd/7624358-8</v>
      </c>
      <c r="N303" s="3"/>
      <c r="P303" s="3"/>
      <c r="R303" s="2" t="s">
        <v>2120</v>
      </c>
      <c r="S303" s="2" t="s">
        <v>2121</v>
      </c>
      <c r="X303" s="2" t="n">
        <v>1</v>
      </c>
      <c r="Y303" s="2" t="n">
        <v>0</v>
      </c>
      <c r="AG303" s="4"/>
    </row>
    <row r="304" s="2" customFormat="true" ht="12.8" hidden="false" customHeight="false" outlineLevel="0" collapsed="false">
      <c r="A304" s="1" t="s">
        <v>2122</v>
      </c>
      <c r="B304" s="2" t="n">
        <v>291</v>
      </c>
      <c r="C304" s="2" t="n">
        <v>289</v>
      </c>
      <c r="D304" s="2" t="s">
        <v>2123</v>
      </c>
      <c r="E304" s="2" t="s">
        <v>2124</v>
      </c>
      <c r="F304" s="2" t="s">
        <v>2125</v>
      </c>
      <c r="H304" s="3" t="s">
        <v>2126</v>
      </c>
      <c r="I304" s="2" t="str">
        <f aca="false">CONCATENATE("http://www.wikidata.org/entity/",H304)</f>
        <v>http://www.wikidata.org/entity/Q49757</v>
      </c>
      <c r="J304" s="3" t="s">
        <v>2127</v>
      </c>
      <c r="K304" s="2" t="str">
        <f aca="false">CONCATENATE("https://d-nb.info/gnd/",J304)</f>
        <v>https://d-nb.info/gnd/4168391-2</v>
      </c>
      <c r="L304" s="3" t="s">
        <v>2128</v>
      </c>
      <c r="M304" s="2" t="str">
        <f aca="false">CONCATENATE("https://d-nb.info/gnd/",L304)</f>
        <v>https://d-nb.info/gnd/4246394-4</v>
      </c>
      <c r="N304" s="3"/>
      <c r="P304" s="3" t="n">
        <v>300025513</v>
      </c>
      <c r="Q304" s="2" t="str">
        <f aca="false">CONCATENATE("https://vocab.getty.edu/aat/",P304)</f>
        <v>https://vocab.getty.edu/aat/300025513</v>
      </c>
      <c r="R304" s="2" t="s">
        <v>2129</v>
      </c>
      <c r="S304" s="2" t="s">
        <v>2130</v>
      </c>
      <c r="X304" s="2" t="n">
        <v>1</v>
      </c>
      <c r="Y304" s="2" t="n">
        <v>0</v>
      </c>
      <c r="AG304" s="4"/>
    </row>
    <row r="305" s="2" customFormat="true" ht="12.8" hidden="false" customHeight="false" outlineLevel="0" collapsed="false">
      <c r="A305" s="1" t="s">
        <v>2131</v>
      </c>
      <c r="B305" s="2" t="n">
        <v>292</v>
      </c>
      <c r="D305" s="2" t="s">
        <v>2132</v>
      </c>
      <c r="E305" s="2" t="s">
        <v>2133</v>
      </c>
      <c r="F305" s="2" t="s">
        <v>2134</v>
      </c>
      <c r="H305" s="3" t="s">
        <v>2135</v>
      </c>
      <c r="I305" s="2" t="str">
        <f aca="false">CONCATENATE("http://www.wikidata.org/entity/",H305)</f>
        <v>http://www.wikidata.org/entity/Q832136</v>
      </c>
      <c r="J305" s="3" t="s">
        <v>2136</v>
      </c>
      <c r="K305" s="2" t="str">
        <f aca="false">CONCATENATE("https://d-nb.info/gnd/",J305)</f>
        <v>https://d-nb.info/gnd/4145078-4</v>
      </c>
      <c r="L305" s="3" t="s">
        <v>2137</v>
      </c>
      <c r="M305" s="2" t="str">
        <f aca="false">CONCATENATE("https://d-nb.info/gnd/",L305)</f>
        <v>https://d-nb.info/gnd/7546980-7</v>
      </c>
      <c r="N305" s="3"/>
      <c r="P305" s="3"/>
      <c r="R305" s="2" t="s">
        <v>2132</v>
      </c>
      <c r="S305" s="2" t="s">
        <v>2134</v>
      </c>
      <c r="X305" s="2" t="n">
        <v>0</v>
      </c>
      <c r="Y305" s="2" t="n">
        <v>0</v>
      </c>
      <c r="AG305" s="4"/>
    </row>
    <row r="306" s="2" customFormat="true" ht="12.8" hidden="false" customHeight="false" outlineLevel="0" collapsed="false">
      <c r="A306" s="1" t="s">
        <v>2138</v>
      </c>
      <c r="B306" s="2" t="n">
        <v>293</v>
      </c>
      <c r="D306" s="2" t="s">
        <v>2139</v>
      </c>
      <c r="E306" s="2" t="s">
        <v>2140</v>
      </c>
      <c r="F306" s="2" t="s">
        <v>2141</v>
      </c>
      <c r="H306" s="3" t="s">
        <v>2142</v>
      </c>
      <c r="I306" s="2" t="str">
        <f aca="false">CONCATENATE("http://www.wikidata.org/entity/",H306)</f>
        <v>http://www.wikidata.org/entity/Q128303868</v>
      </c>
      <c r="J306" s="3"/>
      <c r="L306" s="3"/>
      <c r="N306" s="3"/>
      <c r="P306" s="3"/>
      <c r="R306" s="2" t="s">
        <v>2139</v>
      </c>
      <c r="S306" s="2" t="s">
        <v>2141</v>
      </c>
      <c r="X306" s="2" t="n">
        <v>0</v>
      </c>
      <c r="Y306" s="2" t="n">
        <v>0</v>
      </c>
      <c r="AG306" s="4"/>
    </row>
    <row r="307" s="2" customFormat="true" ht="12.8" hidden="false" customHeight="false" outlineLevel="0" collapsed="false">
      <c r="A307" s="1" t="s">
        <v>2143</v>
      </c>
      <c r="B307" s="2" t="n">
        <v>294</v>
      </c>
      <c r="D307" s="2" t="s">
        <v>2144</v>
      </c>
      <c r="E307" s="2" t="s">
        <v>2145</v>
      </c>
      <c r="F307" s="2" t="s">
        <v>2146</v>
      </c>
      <c r="H307" s="3" t="s">
        <v>2147</v>
      </c>
      <c r="I307" s="2" t="str">
        <f aca="false">CONCATENATE("http://www.wikidata.org/entity/",H307)</f>
        <v>http://www.wikidata.org/entity/Q1281618</v>
      </c>
      <c r="J307" s="3" t="s">
        <v>2148</v>
      </c>
      <c r="K307" s="2" t="str">
        <f aca="false">CONCATENATE("https://d-nb.info/gnd/",J307)</f>
        <v>https://d-nb.info/gnd/4139550-5</v>
      </c>
      <c r="L307" s="3" t="s">
        <v>2149</v>
      </c>
      <c r="M307" s="2" t="str">
        <f aca="false">CONCATENATE("https://d-nb.info/gnd/",L307)</f>
        <v>https://d-nb.info/gnd/4294734-0</v>
      </c>
      <c r="N307" s="3"/>
      <c r="P307" s="3" t="n">
        <v>300025181</v>
      </c>
      <c r="Q307" s="2" t="str">
        <f aca="false">CONCATENATE("https://vocab.getty.edu/aat/",P307)</f>
        <v>https://vocab.getty.edu/aat/300025181</v>
      </c>
      <c r="R307" s="2" t="s">
        <v>2144</v>
      </c>
      <c r="S307" s="2" t="s">
        <v>2146</v>
      </c>
      <c r="X307" s="2" t="n">
        <v>1</v>
      </c>
      <c r="Y307" s="2" t="n">
        <v>0</v>
      </c>
      <c r="AG307" s="4"/>
    </row>
    <row r="308" s="2" customFormat="true" ht="12.8" hidden="false" customHeight="false" outlineLevel="0" collapsed="false">
      <c r="A308" s="1" t="s">
        <v>2150</v>
      </c>
      <c r="B308" s="2" t="n">
        <v>295</v>
      </c>
      <c r="D308" s="2" t="s">
        <v>2151</v>
      </c>
      <c r="E308" s="2" t="s">
        <v>2152</v>
      </c>
      <c r="F308" s="2" t="s">
        <v>2153</v>
      </c>
      <c r="H308" s="3" t="s">
        <v>2154</v>
      </c>
      <c r="I308" s="2" t="str">
        <f aca="false">CONCATENATE("http://www.wikidata.org/entity/",H308)</f>
        <v>http://www.wikidata.org/entity/Q864503</v>
      </c>
      <c r="J308" s="3" t="s">
        <v>2155</v>
      </c>
      <c r="K308" s="2" t="str">
        <f aca="false">CONCATENATE("https://d-nb.info/gnd/",J308)</f>
        <v>https://d-nb.info/gnd/4131826-2</v>
      </c>
      <c r="L308" s="3" t="s">
        <v>2156</v>
      </c>
      <c r="M308" s="2" t="str">
        <f aca="false">CONCATENATE("https://d-nb.info/gnd/",L308)</f>
        <v>https://d-nb.info/gnd/4380756-2</v>
      </c>
      <c r="N308" s="3"/>
      <c r="P308" s="3" t="n">
        <v>300025790</v>
      </c>
      <c r="Q308" s="2" t="str">
        <f aca="false">CONCATENATE("https://vocab.getty.edu/aat/",P308)</f>
        <v>https://vocab.getty.edu/aat/300025790</v>
      </c>
      <c r="R308" s="2" t="s">
        <v>2151</v>
      </c>
      <c r="S308" s="2" t="s">
        <v>2153</v>
      </c>
      <c r="X308" s="2" t="n">
        <v>0</v>
      </c>
      <c r="Y308" s="2" t="n">
        <v>0</v>
      </c>
      <c r="AG308" s="4"/>
    </row>
    <row r="309" s="2" customFormat="true" ht="12.8" hidden="false" customHeight="false" outlineLevel="0" collapsed="false">
      <c r="A309" s="1" t="s">
        <v>2157</v>
      </c>
      <c r="B309" s="2" t="n">
        <v>296</v>
      </c>
      <c r="D309" s="2" t="s">
        <v>2158</v>
      </c>
      <c r="F309" s="2" t="s">
        <v>2159</v>
      </c>
      <c r="H309" s="3" t="s">
        <v>2160</v>
      </c>
      <c r="I309" s="2" t="str">
        <f aca="false">CONCATENATE("http://www.wikidata.org/entity/",H309)</f>
        <v>http://www.wikidata.org/entity/Q121904647</v>
      </c>
      <c r="J309" s="3"/>
      <c r="L309" s="3"/>
      <c r="N309" s="3"/>
      <c r="P309" s="3"/>
      <c r="R309" s="2" t="s">
        <v>2158</v>
      </c>
      <c r="S309" s="2" t="s">
        <v>2159</v>
      </c>
      <c r="X309" s="2" t="n">
        <v>0</v>
      </c>
      <c r="Y309" s="2" t="n">
        <v>0</v>
      </c>
      <c r="AG309" s="4"/>
    </row>
    <row r="310" s="2" customFormat="true" ht="12.8" hidden="false" customHeight="false" outlineLevel="0" collapsed="false">
      <c r="A310" s="1" t="s">
        <v>2161</v>
      </c>
      <c r="B310" s="2" t="n">
        <v>297</v>
      </c>
      <c r="D310" s="2" t="s">
        <v>2162</v>
      </c>
      <c r="E310" s="2" t="s">
        <v>2163</v>
      </c>
      <c r="F310" s="2" t="s">
        <v>2164</v>
      </c>
      <c r="H310" s="3" t="s">
        <v>2165</v>
      </c>
      <c r="I310" s="2" t="str">
        <f aca="false">CONCATENATE("http://www.wikidata.org/entity/",H310)</f>
        <v>http://www.wikidata.org/entity/Q2374149</v>
      </c>
      <c r="J310" s="3" t="s">
        <v>2166</v>
      </c>
      <c r="K310" s="2" t="str">
        <f aca="false">CONCATENATE("https://d-nb.info/gnd/",J310)</f>
        <v>https://d-nb.info/gnd/4146402-3</v>
      </c>
      <c r="L310" s="3" t="s">
        <v>2167</v>
      </c>
      <c r="M310" s="2" t="str">
        <f aca="false">CONCATENATE("https://d-nb.info/gnd/",L310)</f>
        <v>https://d-nb.info/gnd/4631979-7</v>
      </c>
      <c r="N310" s="3"/>
      <c r="P310" s="3" t="n">
        <v>300025791</v>
      </c>
      <c r="Q310" s="2" t="str">
        <f aca="false">CONCATENATE("https://vocab.getty.edu/aat/",P310)</f>
        <v>https://vocab.getty.edu/aat/300025791</v>
      </c>
      <c r="R310" s="2" t="s">
        <v>2162</v>
      </c>
      <c r="S310" s="2" t="s">
        <v>2164</v>
      </c>
      <c r="X310" s="2" t="n">
        <v>0</v>
      </c>
      <c r="Y310" s="2" t="n">
        <v>0</v>
      </c>
      <c r="AG310" s="4"/>
    </row>
    <row r="311" s="2" customFormat="true" ht="12.8" hidden="false" customHeight="false" outlineLevel="0" collapsed="false">
      <c r="A311" s="1" t="s">
        <v>2168</v>
      </c>
      <c r="B311" s="2" t="n">
        <v>298</v>
      </c>
      <c r="D311" s="2" t="s">
        <v>2169</v>
      </c>
      <c r="E311" s="2" t="s">
        <v>2170</v>
      </c>
      <c r="F311" s="2" t="s">
        <v>2171</v>
      </c>
      <c r="H311" s="3" t="s">
        <v>2172</v>
      </c>
      <c r="I311" s="2" t="str">
        <f aca="false">CONCATENATE("http://www.wikidata.org/entity/",H311)</f>
        <v>http://www.wikidata.org/entity/Q115793211</v>
      </c>
      <c r="J311" s="3" t="s">
        <v>2173</v>
      </c>
      <c r="K311" s="2" t="str">
        <f aca="false">CONCATENATE("https://d-nb.info/gnd/",J311)</f>
        <v>https://d-nb.info/gnd/7719046-4</v>
      </c>
      <c r="L311" s="3" t="s">
        <v>2174</v>
      </c>
      <c r="M311" s="2" t="str">
        <f aca="false">CONCATENATE("https://d-nb.info/gnd/",L311)</f>
        <v>https://d-nb.info/gnd/7719048-8</v>
      </c>
      <c r="N311" s="3"/>
      <c r="P311" s="3"/>
      <c r="R311" s="2" t="s">
        <v>2169</v>
      </c>
      <c r="S311" s="2" t="s">
        <v>2171</v>
      </c>
      <c r="X311" s="2" t="n">
        <v>0</v>
      </c>
      <c r="Y311" s="2" t="n">
        <v>0</v>
      </c>
      <c r="AG311" s="4"/>
    </row>
    <row r="312" s="2" customFormat="true" ht="12.8" hidden="false" customHeight="false" outlineLevel="0" collapsed="false">
      <c r="A312" s="1" t="s">
        <v>2175</v>
      </c>
      <c r="B312" s="2" t="n">
        <v>299</v>
      </c>
      <c r="C312" s="2" t="n">
        <v>44</v>
      </c>
      <c r="D312" s="2" t="s">
        <v>2176</v>
      </c>
      <c r="E312" s="2" t="s">
        <v>2177</v>
      </c>
      <c r="F312" s="2" t="s">
        <v>2178</v>
      </c>
      <c r="H312" s="3" t="s">
        <v>2179</v>
      </c>
      <c r="I312" s="2" t="str">
        <f aca="false">CONCATENATE("http://www.wikidata.org/entity/",H312)</f>
        <v>http://www.wikidata.org/entity/Q11288554</v>
      </c>
      <c r="J312" s="3" t="s">
        <v>2180</v>
      </c>
      <c r="K312" s="2" t="str">
        <f aca="false">CONCATENATE("https://d-nb.info/gnd/",J312)</f>
        <v>https://d-nb.info/gnd/7826295-1</v>
      </c>
      <c r="L312" s="3" t="s">
        <v>2181</v>
      </c>
      <c r="M312" s="2" t="str">
        <f aca="false">CONCATENATE("https://d-nb.info/gnd/",L312)</f>
        <v>https://d-nb.info/gnd/7826298-7</v>
      </c>
      <c r="N312" s="3"/>
      <c r="P312" s="3" t="n">
        <v>300443943</v>
      </c>
      <c r="Q312" s="2" t="str">
        <f aca="false">CONCATENATE("https://vocab.getty.edu/aat/",P312)</f>
        <v>https://vocab.getty.edu/aat/300443943</v>
      </c>
      <c r="R312" s="2" t="s">
        <v>2182</v>
      </c>
      <c r="S312" s="2" t="s">
        <v>2183</v>
      </c>
      <c r="X312" s="2" t="n">
        <v>0</v>
      </c>
      <c r="Y312" s="2" t="n">
        <v>0</v>
      </c>
      <c r="AG312" s="4"/>
    </row>
    <row r="313" s="2" customFormat="true" ht="12.8" hidden="false" customHeight="false" outlineLevel="0" collapsed="false">
      <c r="A313" s="1" t="s">
        <v>2184</v>
      </c>
      <c r="B313" s="2" t="n">
        <v>300</v>
      </c>
      <c r="D313" s="2" t="s">
        <v>2185</v>
      </c>
      <c r="E313" s="2" t="s">
        <v>2186</v>
      </c>
      <c r="F313" s="2" t="s">
        <v>2187</v>
      </c>
      <c r="H313" s="3" t="s">
        <v>432</v>
      </c>
      <c r="I313" s="2" t="str">
        <f aca="false">CONCATENATE("http://www.wikidata.org/entity/",H313)</f>
        <v>http://www.wikidata.org/entity/Q215793</v>
      </c>
      <c r="J313" s="3" t="s">
        <v>2188</v>
      </c>
      <c r="K313" s="2" t="str">
        <f aca="false">CONCATENATE("https://d-nb.info/gnd/",J313)</f>
        <v>https://d-nb.info/gnd/4398802-7</v>
      </c>
      <c r="L313" s="3" t="n">
        <v>1303030381</v>
      </c>
      <c r="M313" s="2" t="str">
        <f aca="false">CONCATENATE("https://d-nb.info/gnd/",L313)</f>
        <v>https://d-nb.info/gnd/1303030381</v>
      </c>
      <c r="N313" s="3"/>
      <c r="P313" s="3"/>
      <c r="R313" s="2" t="s">
        <v>2189</v>
      </c>
      <c r="S313" s="2" t="s">
        <v>2190</v>
      </c>
      <c r="X313" s="2" t="n">
        <v>0</v>
      </c>
      <c r="Y313" s="2" t="n">
        <v>1</v>
      </c>
      <c r="AG313" s="4"/>
    </row>
    <row r="314" s="2" customFormat="true" ht="12.8" hidden="false" customHeight="false" outlineLevel="0" collapsed="false">
      <c r="A314" s="1" t="s">
        <v>2191</v>
      </c>
      <c r="B314" s="2" t="n">
        <v>301</v>
      </c>
      <c r="D314" s="2" t="s">
        <v>2192</v>
      </c>
      <c r="E314" s="2" t="s">
        <v>2193</v>
      </c>
      <c r="F314" s="2" t="s">
        <v>2194</v>
      </c>
      <c r="H314" s="3" t="s">
        <v>2195</v>
      </c>
      <c r="I314" s="2" t="str">
        <f aca="false">CONCATENATE("http://www.wikidata.org/entity/",H314)</f>
        <v>http://www.wikidata.org/entity/Q11697052</v>
      </c>
      <c r="J314" s="3"/>
      <c r="L314" s="3"/>
      <c r="N314" s="3"/>
      <c r="P314" s="3"/>
      <c r="R314" s="2" t="s">
        <v>2192</v>
      </c>
      <c r="S314" s="2" t="s">
        <v>2194</v>
      </c>
      <c r="X314" s="2" t="n">
        <v>0</v>
      </c>
      <c r="Y314" s="2" t="n">
        <v>0</v>
      </c>
      <c r="AG314" s="4"/>
    </row>
    <row r="315" s="2" customFormat="true" ht="12.8" hidden="false" customHeight="false" outlineLevel="0" collapsed="false">
      <c r="A315" s="1" t="s">
        <v>2196</v>
      </c>
      <c r="B315" s="2" t="n">
        <v>302</v>
      </c>
      <c r="D315" s="2" t="s">
        <v>2197</v>
      </c>
      <c r="E315" s="2" t="s">
        <v>2198</v>
      </c>
      <c r="F315" s="2" t="s">
        <v>2199</v>
      </c>
      <c r="H315" s="3" t="s">
        <v>2200</v>
      </c>
      <c r="I315" s="2" t="str">
        <f aca="false">CONCATENATE("http://www.wikidata.org/entity/",H315)</f>
        <v>http://www.wikidata.org/entity/Q3125351</v>
      </c>
      <c r="J315" s="3" t="n">
        <v>1037813596</v>
      </c>
      <c r="K315" s="2" t="str">
        <f aca="false">CONCATENATE("https://d-nb.info/gnd/",J315)</f>
        <v>https://d-nb.info/gnd/1037813596</v>
      </c>
      <c r="L315" s="3" t="n">
        <v>1037813707</v>
      </c>
      <c r="M315" s="2" t="str">
        <f aca="false">CONCATENATE("https://d-nb.info/gnd/",L315)</f>
        <v>https://d-nb.info/gnd/1037813707</v>
      </c>
      <c r="N315" s="3"/>
      <c r="P315" s="3"/>
      <c r="R315" s="2" t="s">
        <v>2197</v>
      </c>
      <c r="S315" s="2" t="s">
        <v>2199</v>
      </c>
      <c r="X315" s="2" t="n">
        <v>0</v>
      </c>
      <c r="Y315" s="2" t="n">
        <v>0</v>
      </c>
      <c r="AG315" s="4"/>
    </row>
    <row r="316" s="2" customFormat="true" ht="12.8" hidden="false" customHeight="false" outlineLevel="0" collapsed="false">
      <c r="A316" s="1" t="s">
        <v>2201</v>
      </c>
      <c r="B316" s="2" t="n">
        <v>303</v>
      </c>
      <c r="D316" s="2" t="s">
        <v>2202</v>
      </c>
      <c r="E316" s="2" t="s">
        <v>2203</v>
      </c>
      <c r="F316" s="2" t="s">
        <v>2204</v>
      </c>
      <c r="H316" s="3" t="s">
        <v>2205</v>
      </c>
      <c r="I316" s="2" t="str">
        <f aca="false">CONCATENATE("http://www.wikidata.org/entity/",H316)</f>
        <v>http://www.wikidata.org/entity/Q3366101</v>
      </c>
      <c r="J316" s="3"/>
      <c r="L316" s="3"/>
      <c r="N316" s="3"/>
      <c r="P316" s="3"/>
      <c r="R316" s="2" t="s">
        <v>2202</v>
      </c>
      <c r="S316" s="2" t="s">
        <v>2204</v>
      </c>
      <c r="X316" s="2" t="n">
        <v>0</v>
      </c>
      <c r="Y316" s="2" t="n">
        <v>0</v>
      </c>
      <c r="AG316" s="4"/>
    </row>
    <row r="317" s="2" customFormat="true" ht="12.8" hidden="false" customHeight="false" outlineLevel="0" collapsed="false">
      <c r="A317" s="1" t="s">
        <v>2206</v>
      </c>
      <c r="B317" s="2" t="n">
        <v>304</v>
      </c>
      <c r="D317" s="2" t="s">
        <v>2207</v>
      </c>
      <c r="F317" s="2" t="s">
        <v>2208</v>
      </c>
      <c r="H317" s="3" t="s">
        <v>2209</v>
      </c>
      <c r="I317" s="2" t="str">
        <f aca="false">CONCATENATE("http://www.wikidata.org/entity/",H317)</f>
        <v>http://www.wikidata.org/entity/Q4165151</v>
      </c>
      <c r="J317" s="3"/>
      <c r="L317" s="3"/>
      <c r="N317" s="3"/>
      <c r="P317" s="3"/>
      <c r="R317" s="2" t="s">
        <v>2210</v>
      </c>
      <c r="S317" s="2" t="s">
        <v>2211</v>
      </c>
      <c r="X317" s="2" t="n">
        <v>0</v>
      </c>
      <c r="Y317" s="2" t="n">
        <v>0</v>
      </c>
      <c r="AG317" s="4"/>
    </row>
    <row r="318" s="2" customFormat="true" ht="12.8" hidden="false" customHeight="false" outlineLevel="0" collapsed="false">
      <c r="A318" s="1" t="s">
        <v>2212</v>
      </c>
      <c r="B318" s="2" t="n">
        <v>305</v>
      </c>
      <c r="D318" s="2" t="s">
        <v>2213</v>
      </c>
      <c r="E318" s="2" t="s">
        <v>2214</v>
      </c>
      <c r="F318" s="2" t="s">
        <v>2215</v>
      </c>
      <c r="H318" s="3" t="s">
        <v>2216</v>
      </c>
      <c r="I318" s="2" t="str">
        <f aca="false">CONCATENATE("http://www.wikidata.org/entity/",H318)</f>
        <v>http://www.wikidata.org/entity/Q1294787</v>
      </c>
      <c r="J318" s="3" t="s">
        <v>2217</v>
      </c>
      <c r="K318" s="2" t="str">
        <f aca="false">CONCATENATE("https://d-nb.info/gnd/",J318)</f>
        <v>https://d-nb.info/gnd/4023302-9</v>
      </c>
      <c r="L318" s="3" t="s">
        <v>2218</v>
      </c>
      <c r="M318" s="2" t="str">
        <f aca="false">CONCATENATE("https://d-nb.info/gnd/",L318)</f>
        <v>https://d-nb.info/gnd/4874306-9</v>
      </c>
      <c r="N318" s="3"/>
      <c r="P318" s="3" t="n">
        <v>300386205</v>
      </c>
      <c r="Q318" s="2" t="str">
        <f aca="false">CONCATENATE("https://vocab.getty.edu/aat/",P318)</f>
        <v>https://vocab.getty.edu/aat/300386205</v>
      </c>
      <c r="R318" s="2" t="s">
        <v>2213</v>
      </c>
      <c r="S318" s="2" t="s">
        <v>2215</v>
      </c>
      <c r="X318" s="2" t="n">
        <v>0</v>
      </c>
      <c r="Y318" s="2" t="n">
        <v>0</v>
      </c>
      <c r="AG318" s="4"/>
    </row>
    <row r="319" s="2" customFormat="true" ht="12.8" hidden="false" customHeight="false" outlineLevel="0" collapsed="false">
      <c r="A319" s="1" t="s">
        <v>2219</v>
      </c>
      <c r="B319" s="2" t="n">
        <v>306</v>
      </c>
      <c r="C319" s="2" t="n">
        <v>305</v>
      </c>
      <c r="D319" s="2" t="s">
        <v>2220</v>
      </c>
      <c r="E319" s="2" t="s">
        <v>2221</v>
      </c>
      <c r="F319" s="2" t="s">
        <v>2222</v>
      </c>
      <c r="H319" s="3" t="s">
        <v>2223</v>
      </c>
      <c r="I319" s="2" t="str">
        <f aca="false">CONCATENATE("http://www.wikidata.org/entity/",H319)</f>
        <v>http://www.wikidata.org/entity/Q1413170</v>
      </c>
      <c r="J319" s="3" t="s">
        <v>2224</v>
      </c>
      <c r="K319" s="2" t="str">
        <f aca="false">CONCATENATE("https://d-nb.info/gnd/",J319)</f>
        <v>https://d-nb.info/gnd/4146794-2</v>
      </c>
      <c r="L319" s="3" t="s">
        <v>2225</v>
      </c>
      <c r="M319" s="2" t="str">
        <f aca="false">CONCATENATE("https://d-nb.info/gnd/",L319)</f>
        <v>https://d-nb.info/gnd/4438347-2</v>
      </c>
      <c r="N319" s="3"/>
      <c r="P319" s="3" t="n">
        <v>300025704</v>
      </c>
      <c r="Q319" s="2" t="str">
        <f aca="false">CONCATENATE("https://vocab.getty.edu/aat/",P319)</f>
        <v>https://vocab.getty.edu/aat/300025704</v>
      </c>
      <c r="R319" s="2" t="s">
        <v>2226</v>
      </c>
      <c r="S319" s="2" t="s">
        <v>2227</v>
      </c>
      <c r="X319" s="2" t="n">
        <v>0</v>
      </c>
      <c r="Y319" s="2" t="n">
        <v>0</v>
      </c>
      <c r="AG319" s="4"/>
    </row>
    <row r="320" s="2" customFormat="true" ht="12.8" hidden="false" customHeight="false" outlineLevel="0" collapsed="false">
      <c r="A320" s="1" t="s">
        <v>2228</v>
      </c>
      <c r="B320" s="2" t="n">
        <v>307</v>
      </c>
      <c r="C320" s="2" t="n">
        <v>305</v>
      </c>
      <c r="D320" s="2" t="s">
        <v>2229</v>
      </c>
      <c r="E320" s="2" t="s">
        <v>2230</v>
      </c>
      <c r="F320" s="2" t="s">
        <v>2231</v>
      </c>
      <c r="H320" s="3" t="s">
        <v>2232</v>
      </c>
      <c r="I320" s="2" t="str">
        <f aca="false">CONCATENATE("http://www.wikidata.org/entity/",H320)</f>
        <v>http://www.wikidata.org/entity/Q175151</v>
      </c>
      <c r="J320" s="3" t="s">
        <v>2233</v>
      </c>
      <c r="K320" s="2" t="str">
        <f aca="false">CONCATENATE("https://d-nb.info/gnd/",J320)</f>
        <v>https://d-nb.info/gnd/4013091-5</v>
      </c>
      <c r="L320" s="3" t="s">
        <v>2233</v>
      </c>
      <c r="M320" s="2" t="str">
        <f aca="false">CONCATENATE("https://d-nb.info/gnd/",L320)</f>
        <v>https://d-nb.info/gnd/4013091-5</v>
      </c>
      <c r="N320" s="3"/>
      <c r="P320" s="3" t="n">
        <v>300025732</v>
      </c>
      <c r="Q320" s="2" t="str">
        <f aca="false">CONCATENATE("https://vocab.getty.edu/aat/",P320)</f>
        <v>https://vocab.getty.edu/aat/300025732</v>
      </c>
      <c r="R320" s="2" t="s">
        <v>2234</v>
      </c>
      <c r="S320" s="2" t="s">
        <v>2235</v>
      </c>
      <c r="X320" s="2" t="n">
        <v>0</v>
      </c>
      <c r="Y320" s="2" t="n">
        <v>0</v>
      </c>
      <c r="AG320" s="4"/>
    </row>
    <row r="321" s="2" customFormat="true" ht="12.8" hidden="false" customHeight="false" outlineLevel="0" collapsed="false">
      <c r="A321" s="1" t="s">
        <v>2236</v>
      </c>
      <c r="B321" s="2" t="n">
        <v>308</v>
      </c>
      <c r="C321" s="2" t="n">
        <v>305</v>
      </c>
      <c r="D321" s="2" t="s">
        <v>2237</v>
      </c>
      <c r="E321" s="2" t="s">
        <v>2238</v>
      </c>
      <c r="F321" s="2" t="s">
        <v>2239</v>
      </c>
      <c r="H321" s="3" t="s">
        <v>2240</v>
      </c>
      <c r="I321" s="2" t="str">
        <f aca="false">CONCATENATE("http://www.wikidata.org/entity/",H321)</f>
        <v>http://www.wikidata.org/entity/Q242468</v>
      </c>
      <c r="J321" s="3" t="s">
        <v>2241</v>
      </c>
      <c r="K321" s="2" t="str">
        <f aca="false">CONCATENATE("https://d-nb.info/gnd/",J321)</f>
        <v>https://d-nb.info/gnd/4153182-6</v>
      </c>
      <c r="L321" s="3" t="s">
        <v>2242</v>
      </c>
      <c r="M321" s="2" t="str">
        <f aca="false">CONCATENATE("https://d-nb.info/gnd/",L321)</f>
        <v>https://d-nb.info/gnd/4209144-5</v>
      </c>
      <c r="N321" s="3"/>
      <c r="P321" s="3" t="n">
        <v>300025365</v>
      </c>
      <c r="Q321" s="2" t="str">
        <f aca="false">CONCATENATE("https://vocab.getty.edu/aat/",P321)</f>
        <v>https://vocab.getty.edu/aat/300025365</v>
      </c>
      <c r="R321" s="2" t="s">
        <v>2243</v>
      </c>
      <c r="S321" s="2" t="s">
        <v>2244</v>
      </c>
      <c r="X321" s="2" t="n">
        <v>0</v>
      </c>
      <c r="Y321" s="2" t="n">
        <v>0</v>
      </c>
      <c r="AG321" s="4"/>
    </row>
    <row r="322" s="2" customFormat="true" ht="12.8" hidden="false" customHeight="false" outlineLevel="0" collapsed="false">
      <c r="A322" s="1" t="s">
        <v>2245</v>
      </c>
      <c r="B322" s="2" t="n">
        <v>309</v>
      </c>
      <c r="D322" s="2" t="s">
        <v>2246</v>
      </c>
      <c r="E322" s="2" t="s">
        <v>2247</v>
      </c>
      <c r="F322" s="2" t="s">
        <v>1890</v>
      </c>
      <c r="H322" s="3" t="s">
        <v>2248</v>
      </c>
      <c r="I322" s="2" t="str">
        <f aca="false">CONCATENATE("http://www.wikidata.org/entity/",H322)</f>
        <v>http://www.wikidata.org/entity/Q1607826</v>
      </c>
      <c r="J322" s="3" t="s">
        <v>2249</v>
      </c>
      <c r="K322" s="2" t="str">
        <f aca="false">CONCATENATE("https://d-nb.info/gnd/",J322)</f>
        <v>https://d-nb.info/gnd/4159575-0</v>
      </c>
      <c r="L322" s="3" t="s">
        <v>2250</v>
      </c>
      <c r="M322" s="2" t="str">
        <f aca="false">CONCATENATE("https://d-nb.info/gnd/",L322)</f>
        <v>https://d-nb.info/gnd/4430555-2</v>
      </c>
      <c r="N322" s="3"/>
      <c r="P322" s="3" t="n">
        <v>300025574</v>
      </c>
      <c r="Q322" s="2" t="str">
        <f aca="false">CONCATENATE("https://vocab.getty.edu/aat/",P322)</f>
        <v>https://vocab.getty.edu/aat/300025574</v>
      </c>
      <c r="R322" s="2" t="s">
        <v>2246</v>
      </c>
      <c r="S322" s="2" t="s">
        <v>1890</v>
      </c>
      <c r="X322" s="2" t="n">
        <v>0</v>
      </c>
      <c r="Y322" s="2" t="n">
        <v>0</v>
      </c>
      <c r="AG322" s="4"/>
    </row>
    <row r="323" s="2" customFormat="true" ht="12.8" hidden="false" customHeight="false" outlineLevel="0" collapsed="false">
      <c r="A323" s="1" t="s">
        <v>2251</v>
      </c>
      <c r="B323" s="2" t="n">
        <v>310</v>
      </c>
      <c r="D323" s="2" t="s">
        <v>2252</v>
      </c>
      <c r="E323" s="2" t="s">
        <v>2253</v>
      </c>
      <c r="F323" s="2" t="s">
        <v>2254</v>
      </c>
      <c r="H323" s="3" t="s">
        <v>2255</v>
      </c>
      <c r="I323" s="2" t="str">
        <f aca="false">CONCATENATE("http://www.wikidata.org/entity/",H323)</f>
        <v>http://www.wikidata.org/entity/Q60332470</v>
      </c>
      <c r="J323" s="3"/>
      <c r="L323" s="3"/>
      <c r="N323" s="3"/>
      <c r="P323" s="3"/>
      <c r="R323" s="2" t="s">
        <v>2252</v>
      </c>
      <c r="S323" s="2" t="s">
        <v>2254</v>
      </c>
      <c r="X323" s="2" t="n">
        <v>0</v>
      </c>
      <c r="Y323" s="2" t="n">
        <v>0</v>
      </c>
      <c r="AG323" s="4"/>
    </row>
    <row r="324" s="2" customFormat="true" ht="12.8" hidden="false" customHeight="false" outlineLevel="0" collapsed="false">
      <c r="A324" s="1" t="s">
        <v>2256</v>
      </c>
      <c r="B324" s="2" t="n">
        <v>311</v>
      </c>
      <c r="D324" s="2" t="s">
        <v>2257</v>
      </c>
      <c r="E324" s="2" t="s">
        <v>2258</v>
      </c>
      <c r="F324" s="2" t="s">
        <v>2259</v>
      </c>
      <c r="H324" s="3" t="s">
        <v>2260</v>
      </c>
      <c r="I324" s="2" t="str">
        <f aca="false">CONCATENATE("http://www.wikidata.org/entity/",H324)</f>
        <v>http://www.wikidata.org/entity/Q82594</v>
      </c>
      <c r="J324" s="3" t="s">
        <v>2261</v>
      </c>
      <c r="K324" s="2" t="str">
        <f aca="false">CONCATENATE("https://d-nb.info/gnd/",J324)</f>
        <v>https://d-nb.info/gnd/4139395-8</v>
      </c>
      <c r="L324" s="3" t="s">
        <v>2262</v>
      </c>
      <c r="M324" s="2" t="str">
        <f aca="false">CONCATENATE("https://d-nb.info/gnd/",L324)</f>
        <v>https://d-nb.info/gnd/4219059-9</v>
      </c>
      <c r="N324" s="3"/>
      <c r="P324" s="3" t="n">
        <v>300236481</v>
      </c>
      <c r="Q324" s="2" t="str">
        <f aca="false">CONCATENATE("https://vocab.getty.edu/aat/",P324)</f>
        <v>https://vocab.getty.edu/aat/300236481</v>
      </c>
      <c r="R324" s="2" t="s">
        <v>2257</v>
      </c>
      <c r="S324" s="2" t="s">
        <v>2259</v>
      </c>
      <c r="X324" s="2" t="n">
        <v>0</v>
      </c>
      <c r="Y324" s="2" t="n">
        <v>0</v>
      </c>
      <c r="AG324" s="4"/>
    </row>
    <row r="325" s="2" customFormat="true" ht="12.8" hidden="false" customHeight="false" outlineLevel="0" collapsed="false">
      <c r="A325" s="1" t="s">
        <v>2263</v>
      </c>
      <c r="B325" s="2" t="n">
        <v>312</v>
      </c>
      <c r="D325" s="2" t="s">
        <v>2264</v>
      </c>
      <c r="E325" s="2" t="s">
        <v>2265</v>
      </c>
      <c r="F325" s="2" t="s">
        <v>2266</v>
      </c>
      <c r="H325" s="3" t="s">
        <v>2267</v>
      </c>
      <c r="I325" s="2" t="str">
        <f aca="false">CONCATENATE("http://www.wikidata.org/entity/",H325)</f>
        <v>http://www.wikidata.org/entity/Q185351</v>
      </c>
      <c r="J325" s="3" t="s">
        <v>2268</v>
      </c>
      <c r="K325" s="2" t="str">
        <f aca="false">CONCATENATE("https://d-nb.info/gnd/",J325)</f>
        <v>https://d-nb.info/gnd/4029050-5</v>
      </c>
      <c r="L325" s="3" t="s">
        <v>2269</v>
      </c>
      <c r="M325" s="2" t="str">
        <f aca="false">CONCATENATE("https://d-nb.info/gnd/",L325)</f>
        <v>https://d-nb.info/gnd/4130076-2</v>
      </c>
      <c r="N325" s="3"/>
      <c r="P325" s="3" t="n">
        <v>300236907</v>
      </c>
      <c r="Q325" s="2" t="str">
        <f aca="false">CONCATENATE("https://vocab.getty.edu/aat/",P325)</f>
        <v>https://vocab.getty.edu/aat/300236907</v>
      </c>
      <c r="R325" s="2" t="s">
        <v>2264</v>
      </c>
      <c r="S325" s="2" t="s">
        <v>2266</v>
      </c>
      <c r="X325" s="2" t="n">
        <v>0</v>
      </c>
      <c r="Y325" s="2" t="n">
        <v>0</v>
      </c>
      <c r="AG325" s="4"/>
    </row>
    <row r="326" s="2" customFormat="true" ht="12.8" hidden="false" customHeight="false" outlineLevel="0" collapsed="false">
      <c r="A326" s="1" t="s">
        <v>2270</v>
      </c>
      <c r="B326" s="2" t="n">
        <v>313</v>
      </c>
      <c r="D326" s="2" t="s">
        <v>2271</v>
      </c>
      <c r="E326" s="2" t="s">
        <v>2272</v>
      </c>
      <c r="F326" s="2" t="s">
        <v>2273</v>
      </c>
      <c r="H326" s="3" t="s">
        <v>2274</v>
      </c>
      <c r="I326" s="2" t="str">
        <f aca="false">CONCATENATE("http://www.wikidata.org/entity/",H326)</f>
        <v>http://www.wikidata.org/entity/Q7541856</v>
      </c>
      <c r="J326" s="3" t="s">
        <v>2275</v>
      </c>
      <c r="K326" s="2" t="str">
        <f aca="false">CONCATENATE("https://d-nb.info/gnd/",J326)</f>
        <v>https://d-nb.info/gnd/4307126-0</v>
      </c>
      <c r="L326" s="3" t="s">
        <v>2276</v>
      </c>
      <c r="M326" s="2" t="str">
        <f aca="false">CONCATENATE("https://d-nb.info/gnd/",L326)</f>
        <v>https://d-nb.info/gnd/7541443-0</v>
      </c>
      <c r="N326" s="3"/>
      <c r="P326" s="3" t="n">
        <v>300025388</v>
      </c>
      <c r="Q326" s="2" t="str">
        <f aca="false">CONCATENATE("https://vocab.getty.edu/aat/",P326)</f>
        <v>https://vocab.getty.edu/aat/300025388</v>
      </c>
      <c r="R326" s="2" t="s">
        <v>2271</v>
      </c>
      <c r="S326" s="2" t="s">
        <v>2273</v>
      </c>
      <c r="X326" s="2" t="n">
        <v>0</v>
      </c>
      <c r="Y326" s="2" t="n">
        <v>0</v>
      </c>
      <c r="AG326" s="4"/>
    </row>
    <row r="327" s="2" customFormat="true" ht="12.8" hidden="false" customHeight="false" outlineLevel="0" collapsed="false">
      <c r="A327" s="1" t="s">
        <v>2277</v>
      </c>
      <c r="B327" s="2" t="n">
        <v>314</v>
      </c>
      <c r="D327" s="2" t="s">
        <v>2278</v>
      </c>
      <c r="E327" s="2" t="s">
        <v>2279</v>
      </c>
      <c r="F327" s="2" t="s">
        <v>2280</v>
      </c>
      <c r="H327" s="3" t="s">
        <v>2281</v>
      </c>
      <c r="I327" s="2" t="str">
        <f aca="false">CONCATENATE("http://www.wikidata.org/entity/",H327)</f>
        <v>http://www.wikidata.org/entity/Q691031</v>
      </c>
      <c r="J327" s="3" t="s">
        <v>2282</v>
      </c>
      <c r="K327" s="2" t="str">
        <f aca="false">CONCATENATE("https://d-nb.info/gnd/",J327)</f>
        <v>https://d-nb.info/gnd/4231707-1</v>
      </c>
      <c r="L327" s="3" t="n">
        <v>1340862638</v>
      </c>
      <c r="M327" s="2" t="str">
        <f aca="false">CONCATENATE("https://d-nb.info/gnd/",L327)</f>
        <v>https://d-nb.info/gnd/1340862638</v>
      </c>
      <c r="N327" s="3"/>
      <c r="P327" s="3"/>
      <c r="R327" s="2" t="s">
        <v>2278</v>
      </c>
      <c r="S327" s="2" t="s">
        <v>2280</v>
      </c>
      <c r="X327" s="2" t="n">
        <v>0</v>
      </c>
      <c r="Y327" s="2" t="n">
        <v>0</v>
      </c>
      <c r="AG327" s="4"/>
    </row>
    <row r="328" s="2" customFormat="true" ht="12.8" hidden="false" customHeight="false" outlineLevel="0" collapsed="false">
      <c r="A328" s="1" t="s">
        <v>2283</v>
      </c>
      <c r="B328" s="2" t="n">
        <v>315</v>
      </c>
      <c r="D328" s="2" t="s">
        <v>2284</v>
      </c>
      <c r="E328" s="2" t="s">
        <v>2285</v>
      </c>
      <c r="F328" s="2" t="s">
        <v>2286</v>
      </c>
      <c r="H328" s="3" t="s">
        <v>2287</v>
      </c>
      <c r="I328" s="2" t="str">
        <f aca="false">CONCATENATE("http://www.wikidata.org/entity/",H328)</f>
        <v>http://www.wikidata.org/entity/Q1784753</v>
      </c>
      <c r="J328" s="3" t="s">
        <v>2288</v>
      </c>
      <c r="K328" s="2" t="str">
        <f aca="false">CONCATENATE("https://d-nb.info/gnd/",J328)</f>
        <v>https://d-nb.info/gnd/4283458-2</v>
      </c>
      <c r="L328" s="3" t="n">
        <v>1203220251</v>
      </c>
      <c r="M328" s="2" t="str">
        <f aca="false">CONCATENATE("https://d-nb.info/gnd/",L328)</f>
        <v>https://d-nb.info/gnd/1203220251</v>
      </c>
      <c r="N328" s="3"/>
      <c r="P328" s="3"/>
      <c r="R328" s="2" t="s">
        <v>2284</v>
      </c>
      <c r="S328" s="2" t="s">
        <v>2286</v>
      </c>
      <c r="X328" s="2" t="n">
        <v>0</v>
      </c>
      <c r="Y328" s="2" t="n">
        <v>0</v>
      </c>
      <c r="AG328" s="4"/>
    </row>
    <row r="329" s="2" customFormat="true" ht="12.8" hidden="false" customHeight="false" outlineLevel="0" collapsed="false">
      <c r="A329" s="1" t="s">
        <v>2289</v>
      </c>
      <c r="B329" s="2" t="n">
        <v>316</v>
      </c>
      <c r="D329" s="2" t="s">
        <v>2290</v>
      </c>
      <c r="F329" s="2" t="s">
        <v>2291</v>
      </c>
      <c r="H329" s="3" t="s">
        <v>2292</v>
      </c>
      <c r="I329" s="2" t="str">
        <f aca="false">CONCATENATE("http://www.wikidata.org/entity/",H329)</f>
        <v>http://www.wikidata.org/entity/Q70660439</v>
      </c>
      <c r="J329" s="3" t="s">
        <v>2293</v>
      </c>
      <c r="K329" s="2" t="str">
        <f aca="false">CONCATENATE("https://d-nb.info/gnd/",J329)</f>
        <v>https://d-nb.info/gnd/4165486-9</v>
      </c>
      <c r="L329" s="3"/>
      <c r="N329" s="3"/>
      <c r="P329" s="3" t="n">
        <v>300025011</v>
      </c>
      <c r="Q329" s="2" t="str">
        <f aca="false">CONCATENATE("https://vocab.getty.edu/aat/",P329)</f>
        <v>https://vocab.getty.edu/aat/300025011</v>
      </c>
      <c r="R329" s="2" t="s">
        <v>2290</v>
      </c>
      <c r="S329" s="2" t="s">
        <v>2291</v>
      </c>
      <c r="X329" s="2" t="n">
        <v>0</v>
      </c>
      <c r="Y329" s="2" t="n">
        <v>0</v>
      </c>
      <c r="AG329" s="4"/>
    </row>
    <row r="330" s="2" customFormat="true" ht="12.8" hidden="false" customHeight="false" outlineLevel="0" collapsed="false">
      <c r="A330" s="1" t="s">
        <v>2294</v>
      </c>
      <c r="B330" s="2" t="n">
        <v>317</v>
      </c>
      <c r="D330" s="2" t="s">
        <v>2295</v>
      </c>
      <c r="E330" s="2" t="s">
        <v>2296</v>
      </c>
      <c r="F330" s="2" t="s">
        <v>2297</v>
      </c>
      <c r="H330" s="3" t="s">
        <v>2298</v>
      </c>
      <c r="I330" s="2" t="str">
        <f aca="false">CONCATENATE("http://www.wikidata.org/entity/",H330)</f>
        <v>http://www.wikidata.org/entity/Q19829999</v>
      </c>
      <c r="J330" s="3" t="s">
        <v>2299</v>
      </c>
      <c r="K330" s="2" t="str">
        <f aca="false">CONCATENATE("https://d-nb.info/gnd/",J330)</f>
        <v>https://d-nb.info/gnd/4485235-6</v>
      </c>
      <c r="L330" s="3" t="s">
        <v>2300</v>
      </c>
      <c r="M330" s="2" t="str">
        <f aca="false">CONCATENATE("https://d-nb.info/gnd/",L330)</f>
        <v>https://d-nb.info/gnd/7538689-6</v>
      </c>
      <c r="N330" s="3"/>
      <c r="P330" s="3"/>
      <c r="R330" s="2" t="s">
        <v>2295</v>
      </c>
      <c r="S330" s="2" t="s">
        <v>2297</v>
      </c>
      <c r="X330" s="2" t="n">
        <v>0</v>
      </c>
      <c r="Y330" s="2" t="n">
        <v>0</v>
      </c>
      <c r="AG330" s="4"/>
    </row>
    <row r="331" s="2" customFormat="true" ht="12.8" hidden="false" customHeight="false" outlineLevel="0" collapsed="false">
      <c r="A331" s="1" t="s">
        <v>2301</v>
      </c>
      <c r="B331" s="2" t="n">
        <v>318</v>
      </c>
      <c r="D331" s="2" t="s">
        <v>2302</v>
      </c>
      <c r="E331" s="2" t="s">
        <v>2303</v>
      </c>
      <c r="F331" s="2" t="s">
        <v>2304</v>
      </c>
      <c r="H331" s="3" t="s">
        <v>2305</v>
      </c>
      <c r="I331" s="2" t="str">
        <f aca="false">CONCATENATE("http://www.wikidata.org/entity/",H331)</f>
        <v>http://www.wikidata.org/entity/Q1792450</v>
      </c>
      <c r="J331" s="3" t="s">
        <v>2306</v>
      </c>
      <c r="K331" s="2" t="str">
        <f aca="false">CONCATENATE("https://d-nb.info/gnd/",J331)</f>
        <v>https://d-nb.info/gnd/4033654-2</v>
      </c>
      <c r="L331" s="3" t="s">
        <v>2307</v>
      </c>
      <c r="M331" s="2" t="str">
        <f aca="false">CONCATENATE("https://d-nb.info/gnd/",L331)</f>
        <v>https://d-nb.info/gnd/4226289-6</v>
      </c>
      <c r="N331" s="3"/>
      <c r="P331" s="3" t="n">
        <v>300025541</v>
      </c>
      <c r="Q331" s="2" t="str">
        <f aca="false">CONCATENATE("https://vocab.getty.edu/aat/",P331)</f>
        <v>https://vocab.getty.edu/aat/300025541</v>
      </c>
      <c r="R331" s="2" t="s">
        <v>2302</v>
      </c>
      <c r="S331" s="2" t="s">
        <v>2304</v>
      </c>
      <c r="X331" s="2" t="n">
        <v>0</v>
      </c>
      <c r="Y331" s="2" t="n">
        <v>0</v>
      </c>
      <c r="AG331" s="4"/>
    </row>
    <row r="332" s="2" customFormat="true" ht="12.8" hidden="false" customHeight="false" outlineLevel="0" collapsed="false">
      <c r="A332" s="1" t="s">
        <v>2308</v>
      </c>
      <c r="B332" s="2" t="n">
        <v>319</v>
      </c>
      <c r="C332" s="2" t="n">
        <v>44</v>
      </c>
      <c r="D332" s="2" t="s">
        <v>2309</v>
      </c>
      <c r="E332" s="2" t="s">
        <v>2310</v>
      </c>
      <c r="F332" s="2" t="s">
        <v>2311</v>
      </c>
      <c r="H332" s="3" t="s">
        <v>2312</v>
      </c>
      <c r="I332" s="2" t="str">
        <f aca="false">CONCATENATE("http://www.wikidata.org/entity/",H332)</f>
        <v>http://www.wikidata.org/entity/Q627325</v>
      </c>
      <c r="J332" s="3" t="s">
        <v>2313</v>
      </c>
      <c r="K332" s="2" t="str">
        <f aca="false">CONCATENATE("https://d-nb.info/gnd/",J332)</f>
        <v>https://d-nb.info/gnd/4125173-8</v>
      </c>
      <c r="L332" s="3" t="s">
        <v>2314</v>
      </c>
      <c r="M332" s="2" t="str">
        <f aca="false">CONCATENATE("https://d-nb.info/gnd/",L332)</f>
        <v>https://d-nb.info/gnd/4550852-5</v>
      </c>
      <c r="N332" s="3"/>
      <c r="P332" s="3" t="n">
        <v>300025119</v>
      </c>
      <c r="Q332" s="2" t="str">
        <f aca="false">CONCATENATE("https://vocab.getty.edu/aat/",P332)</f>
        <v>https://vocab.getty.edu/aat/300025119</v>
      </c>
      <c r="R332" s="2" t="s">
        <v>2315</v>
      </c>
      <c r="S332" s="2" t="s">
        <v>2316</v>
      </c>
      <c r="X332" s="2" t="n">
        <v>1</v>
      </c>
      <c r="Y332" s="2" t="n">
        <v>0</v>
      </c>
      <c r="AG332" s="4"/>
    </row>
    <row r="333" s="2" customFormat="true" ht="12.8" hidden="false" customHeight="false" outlineLevel="0" collapsed="false">
      <c r="A333" s="1" t="s">
        <v>2317</v>
      </c>
      <c r="B333" s="2" t="n">
        <v>320</v>
      </c>
      <c r="C333" s="2" t="n">
        <v>119</v>
      </c>
      <c r="D333" s="2" t="s">
        <v>2318</v>
      </c>
      <c r="E333" s="2" t="s">
        <v>2319</v>
      </c>
      <c r="F333" s="2" t="s">
        <v>2320</v>
      </c>
      <c r="H333" s="3" t="s">
        <v>2321</v>
      </c>
      <c r="I333" s="2" t="str">
        <f aca="false">CONCATENATE("http://www.wikidata.org/entity/",H333)</f>
        <v>http://www.wikidata.org/entity/Q19850998</v>
      </c>
      <c r="J333" s="3" t="n">
        <v>1152099817</v>
      </c>
      <c r="K333" s="2" t="str">
        <f aca="false">CONCATENATE("https://d-nb.info/gnd/",J333)</f>
        <v>https://d-nb.info/gnd/1152099817</v>
      </c>
      <c r="L333" s="3" t="n">
        <v>1152099981</v>
      </c>
      <c r="M333" s="2" t="str">
        <f aca="false">CONCATENATE("https://d-nb.info/gnd/",L333)</f>
        <v>https://d-nb.info/gnd/1152099981</v>
      </c>
      <c r="N333" s="3"/>
      <c r="P333" s="3"/>
      <c r="R333" s="2" t="s">
        <v>2322</v>
      </c>
      <c r="S333" s="2" t="s">
        <v>2323</v>
      </c>
      <c r="X333" s="2" t="n">
        <v>1</v>
      </c>
      <c r="Y333" s="2" t="n">
        <v>0</v>
      </c>
      <c r="AG333" s="4"/>
    </row>
    <row r="334" s="2" customFormat="true" ht="12.8" hidden="false" customHeight="false" outlineLevel="0" collapsed="false">
      <c r="A334" s="1" t="s">
        <v>2324</v>
      </c>
      <c r="B334" s="2" t="n">
        <v>321</v>
      </c>
      <c r="C334" s="2" t="n">
        <v>121</v>
      </c>
      <c r="D334" s="2" t="s">
        <v>2325</v>
      </c>
      <c r="E334" s="2" t="s">
        <v>2326</v>
      </c>
      <c r="F334" s="2" t="s">
        <v>2327</v>
      </c>
      <c r="H334" s="3" t="s">
        <v>2328</v>
      </c>
      <c r="I334" s="2" t="str">
        <f aca="false">CONCATENATE("http://www.wikidata.org/entity/",H334)</f>
        <v>http://www.wikidata.org/entity/Q644687</v>
      </c>
      <c r="J334" s="3" t="s">
        <v>2329</v>
      </c>
      <c r="K334" s="2" t="str">
        <f aca="false">CONCATENATE("https://d-nb.info/gnd/",J334)</f>
        <v>https://d-nb.info/gnd/4161277-2</v>
      </c>
      <c r="L334" s="3" t="s">
        <v>2330</v>
      </c>
      <c r="M334" s="2" t="str">
        <f aca="false">CONCATENATE("https://d-nb.info/gnd/",L334)</f>
        <v>https://d-nb.info/gnd/4454346-3</v>
      </c>
      <c r="N334" s="3"/>
      <c r="P334" s="3" t="n">
        <v>300025123</v>
      </c>
      <c r="Q334" s="2" t="str">
        <f aca="false">CONCATENATE("https://vocab.getty.edu/aat/",P334)</f>
        <v>https://vocab.getty.edu/aat/300025123</v>
      </c>
      <c r="R334" s="2" t="s">
        <v>2331</v>
      </c>
      <c r="S334" s="2" t="s">
        <v>2332</v>
      </c>
      <c r="X334" s="2" t="n">
        <v>1</v>
      </c>
      <c r="Y334" s="2" t="n">
        <v>0</v>
      </c>
      <c r="AG334" s="4"/>
    </row>
    <row r="335" s="2" customFormat="true" ht="12.8" hidden="false" customHeight="false" outlineLevel="0" collapsed="false">
      <c r="A335" s="1" t="s">
        <v>2333</v>
      </c>
      <c r="B335" s="2" t="n">
        <v>322</v>
      </c>
      <c r="C335" s="2" t="n">
        <v>119</v>
      </c>
      <c r="D335" s="2" t="s">
        <v>2334</v>
      </c>
      <c r="E335" s="2" t="s">
        <v>2335</v>
      </c>
      <c r="F335" s="2" t="s">
        <v>1290</v>
      </c>
      <c r="H335" s="3" t="s">
        <v>1291</v>
      </c>
      <c r="I335" s="2" t="str">
        <f aca="false">CONCATENATE("http://www.wikidata.org/entity/",H335)</f>
        <v>http://www.wikidata.org/entity/Q10774753</v>
      </c>
      <c r="J335" s="3" t="s">
        <v>1292</v>
      </c>
      <c r="K335" s="2" t="str">
        <f aca="false">CONCATENATE("https://d-nb.info/gnd/",J335)</f>
        <v>https://d-nb.info/gnd/7545699-0</v>
      </c>
      <c r="L335" s="3" t="s">
        <v>1293</v>
      </c>
      <c r="M335" s="2" t="str">
        <f aca="false">CONCATENATE("https://d-nb.info/gnd/",L335)</f>
        <v>https://d-nb.info/gnd/7545707-6</v>
      </c>
      <c r="N335" s="3"/>
      <c r="P335" s="3" t="n">
        <v>300025678</v>
      </c>
      <c r="Q335" s="2" t="str">
        <f aca="false">CONCATENATE("https://vocab.getty.edu/aat/",P335)</f>
        <v>https://vocab.getty.edu/aat/300025678</v>
      </c>
      <c r="R335" s="2" t="s">
        <v>2336</v>
      </c>
      <c r="S335" s="2" t="s">
        <v>2337</v>
      </c>
      <c r="X335" s="2" t="n">
        <v>1</v>
      </c>
      <c r="Y335" s="2" t="n">
        <v>1</v>
      </c>
      <c r="AG335" s="4"/>
    </row>
    <row r="336" s="2" customFormat="true" ht="12.8" hidden="false" customHeight="false" outlineLevel="0" collapsed="false">
      <c r="A336" s="1" t="s">
        <v>2338</v>
      </c>
      <c r="B336" s="2" t="n">
        <v>323</v>
      </c>
      <c r="C336" s="2" t="n">
        <v>119</v>
      </c>
      <c r="D336" s="2" t="s">
        <v>2339</v>
      </c>
      <c r="E336" s="2" t="s">
        <v>2340</v>
      </c>
      <c r="F336" s="2" t="s">
        <v>2341</v>
      </c>
      <c r="H336" s="3" t="s">
        <v>2342</v>
      </c>
      <c r="I336" s="2" t="str">
        <f aca="false">CONCATENATE("http://www.wikidata.org/entity/",H336)</f>
        <v>http://www.wikidata.org/entity/Q18216771</v>
      </c>
      <c r="J336" s="3" t="s">
        <v>2343</v>
      </c>
      <c r="K336" s="2" t="str">
        <f aca="false">CONCATENATE("https://d-nb.info/gnd/",J336)</f>
        <v>https://d-nb.info/gnd/4188228-3</v>
      </c>
      <c r="L336" s="3"/>
      <c r="N336" s="3"/>
      <c r="P336" s="3" t="n">
        <v>300253827</v>
      </c>
      <c r="Q336" s="2" t="str">
        <f aca="false">CONCATENATE("https://vocab.getty.edu/aat/",P336)</f>
        <v>https://vocab.getty.edu/aat/300253827</v>
      </c>
      <c r="R336" s="2" t="s">
        <v>2344</v>
      </c>
      <c r="S336" s="2" t="s">
        <v>2345</v>
      </c>
      <c r="X336" s="2" t="n">
        <v>1</v>
      </c>
      <c r="Y336" s="2" t="n">
        <v>0</v>
      </c>
      <c r="AG336" s="4"/>
    </row>
    <row r="337" s="2" customFormat="true" ht="12.8" hidden="false" customHeight="false" outlineLevel="0" collapsed="false">
      <c r="A337" s="1" t="s">
        <v>2346</v>
      </c>
      <c r="B337" s="2" t="n">
        <v>324</v>
      </c>
      <c r="D337" s="2" t="s">
        <v>2347</v>
      </c>
      <c r="E337" s="2" t="s">
        <v>2348</v>
      </c>
      <c r="F337" s="2" t="s">
        <v>789</v>
      </c>
      <c r="H337" s="3" t="s">
        <v>2349</v>
      </c>
      <c r="I337" s="2" t="str">
        <f aca="false">CONCATENATE("http://www.wikidata.org/entity/",H337)</f>
        <v>http://www.wikidata.org/entity/Q1797162</v>
      </c>
      <c r="J337" s="3" t="s">
        <v>2350</v>
      </c>
      <c r="K337" s="2" t="str">
        <f aca="false">CONCATENATE("https://d-nb.info/gnd/",J337)</f>
        <v>https://d-nb.info/gnd/4444723-1</v>
      </c>
      <c r="L337" s="3" t="s">
        <v>2350</v>
      </c>
      <c r="M337" s="2" t="str">
        <f aca="false">CONCATENATE("https://d-nb.info/gnd/",L337)</f>
        <v>https://d-nb.info/gnd/4444723-1</v>
      </c>
      <c r="N337" s="3"/>
      <c r="P337" s="3" t="n">
        <v>300386786</v>
      </c>
      <c r="Q337" s="2" t="str">
        <f aca="false">CONCATENATE("https://vocab.getty.edu/aat/",P337)</f>
        <v>https://vocab.getty.edu/aat/300386786</v>
      </c>
      <c r="R337" s="2" t="s">
        <v>2351</v>
      </c>
      <c r="S337" s="2" t="s">
        <v>789</v>
      </c>
      <c r="X337" s="2" t="n">
        <v>0</v>
      </c>
      <c r="Y337" s="2" t="n">
        <v>0</v>
      </c>
      <c r="AG337" s="4"/>
    </row>
    <row r="338" s="2" customFormat="true" ht="12.8" hidden="false" customHeight="false" outlineLevel="0" collapsed="false">
      <c r="A338" s="1" t="s">
        <v>2352</v>
      </c>
      <c r="B338" s="2" t="n">
        <v>325</v>
      </c>
      <c r="D338" s="2" t="s">
        <v>2353</v>
      </c>
      <c r="E338" s="2" t="s">
        <v>2354</v>
      </c>
      <c r="F338" s="2" t="s">
        <v>2355</v>
      </c>
      <c r="G338" s="2" t="s">
        <v>2304</v>
      </c>
      <c r="H338" s="3" t="s">
        <v>2305</v>
      </c>
      <c r="I338" s="2" t="str">
        <f aca="false">CONCATENATE("http://www.wikidata.org/entity/",H338)</f>
        <v>http://www.wikidata.org/entity/Q1792450</v>
      </c>
      <c r="J338" s="3" t="s">
        <v>2306</v>
      </c>
      <c r="K338" s="2" t="str">
        <f aca="false">CONCATENATE("https://d-nb.info/gnd/",J338)</f>
        <v>https://d-nb.info/gnd/4033654-2</v>
      </c>
      <c r="L338" s="3" t="s">
        <v>2307</v>
      </c>
      <c r="M338" s="2" t="str">
        <f aca="false">CONCATENATE("https://d-nb.info/gnd/",L338)</f>
        <v>https://d-nb.info/gnd/4226289-6</v>
      </c>
      <c r="N338" s="3"/>
      <c r="P338" s="3" t="n">
        <v>300025541</v>
      </c>
      <c r="Q338" s="2" t="str">
        <f aca="false">CONCATENATE("https://vocab.getty.edu/aat/",P338)</f>
        <v>https://vocab.getty.edu/aat/300025541</v>
      </c>
      <c r="R338" s="2" t="s">
        <v>2353</v>
      </c>
      <c r="S338" s="2" t="s">
        <v>2355</v>
      </c>
      <c r="X338" s="2" t="n">
        <v>0</v>
      </c>
      <c r="Y338" s="2" t="n">
        <v>0</v>
      </c>
      <c r="AG338" s="4"/>
    </row>
    <row r="339" s="2" customFormat="true" ht="12.8" hidden="false" customHeight="false" outlineLevel="0" collapsed="false">
      <c r="A339" s="1" t="s">
        <v>2356</v>
      </c>
      <c r="B339" s="2" t="n">
        <v>326</v>
      </c>
      <c r="C339" s="2" t="n">
        <v>125</v>
      </c>
      <c r="D339" s="2" t="s">
        <v>2357</v>
      </c>
      <c r="E339" s="2" t="s">
        <v>2358</v>
      </c>
      <c r="F339" s="2" t="s">
        <v>2359</v>
      </c>
      <c r="H339" s="3" t="s">
        <v>236</v>
      </c>
      <c r="I339" s="2" t="str">
        <f aca="false">CONCATENATE("http://www.wikidata.org/entity/",H339)</f>
        <v>http://www.wikidata.org/entity/Q1622272</v>
      </c>
      <c r="J339" s="3" t="s">
        <v>2360</v>
      </c>
      <c r="K339" s="2" t="str">
        <f aca="false">CONCATENATE("https://d-nb.info/gnd/",J339)</f>
        <v>https://d-nb.info/gnd/4025243-7</v>
      </c>
      <c r="L339" s="3" t="s">
        <v>2361</v>
      </c>
      <c r="M339" s="2" t="str">
        <f aca="false">CONCATENATE("https://d-nb.info/gnd/",L339)</f>
        <v>https://d-nb.info/gnd/4160219-5</v>
      </c>
      <c r="N339" s="3"/>
      <c r="P339" s="3"/>
      <c r="R339" s="2" t="s">
        <v>2362</v>
      </c>
      <c r="S339" s="2" t="s">
        <v>2363</v>
      </c>
      <c r="X339" s="2" t="n">
        <v>0</v>
      </c>
      <c r="Y339" s="2" t="n">
        <v>0</v>
      </c>
      <c r="AG339" s="4"/>
    </row>
    <row r="340" s="2" customFormat="true" ht="12.8" hidden="false" customHeight="false" outlineLevel="0" collapsed="false">
      <c r="A340" s="1" t="s">
        <v>2364</v>
      </c>
      <c r="B340" s="2" t="n">
        <v>327</v>
      </c>
      <c r="C340" s="2" t="n">
        <v>125</v>
      </c>
      <c r="D340" s="2" t="s">
        <v>2365</v>
      </c>
      <c r="E340" s="2" t="s">
        <v>2366</v>
      </c>
      <c r="F340" s="2" t="s">
        <v>2367</v>
      </c>
      <c r="H340" s="3" t="s">
        <v>2368</v>
      </c>
      <c r="I340" s="2" t="str">
        <f aca="false">CONCATENATE("http://www.wikidata.org/entity/",H340)</f>
        <v>http://www.wikidata.org/entity/Q2312637</v>
      </c>
      <c r="J340" s="3" t="s">
        <v>2369</v>
      </c>
      <c r="K340" s="2" t="str">
        <f aca="false">CONCATENATE("https://d-nb.info/gnd/",J340)</f>
        <v>https://d-nb.info/gnd/4056397-2</v>
      </c>
      <c r="L340" s="3" t="s">
        <v>2370</v>
      </c>
      <c r="M340" s="2" t="str">
        <f aca="false">CONCATENATE("https://d-nb.info/gnd/",L340)</f>
        <v>https://d-nb.info/gnd/4330880-6</v>
      </c>
      <c r="N340" s="3"/>
      <c r="P340" s="3"/>
      <c r="R340" s="2" t="s">
        <v>2371</v>
      </c>
      <c r="S340" s="2" t="s">
        <v>2372</v>
      </c>
      <c r="X340" s="2" t="n">
        <v>0</v>
      </c>
      <c r="Y340" s="2" t="n">
        <v>0</v>
      </c>
      <c r="AG340" s="4"/>
    </row>
    <row r="341" s="2" customFormat="true" ht="12.8" hidden="false" customHeight="false" outlineLevel="0" collapsed="false">
      <c r="A341" s="1" t="s">
        <v>2373</v>
      </c>
      <c r="B341" s="2" t="n">
        <v>328</v>
      </c>
      <c r="C341" s="2" t="n">
        <v>327</v>
      </c>
      <c r="D341" s="2" t="s">
        <v>2374</v>
      </c>
      <c r="E341" s="2" t="s">
        <v>2375</v>
      </c>
      <c r="F341" s="2" t="s">
        <v>2376</v>
      </c>
      <c r="H341" s="3" t="s">
        <v>2377</v>
      </c>
      <c r="I341" s="2" t="str">
        <f aca="false">CONCATENATE("http://www.wikidata.org/entity/",H341)</f>
        <v>http://www.wikidata.org/entity/Q2393361</v>
      </c>
      <c r="J341" s="3" t="s">
        <v>2378</v>
      </c>
      <c r="K341" s="2" t="str">
        <f aca="false">CONCATENATE("https://d-nb.info/gnd/",J341)</f>
        <v>https://d-nb.info/gnd/4367572-4</v>
      </c>
      <c r="L341" s="3" t="s">
        <v>2379</v>
      </c>
      <c r="M341" s="2" t="str">
        <f aca="false">CONCATENATE("https://d-nb.info/gnd/",L341)</f>
        <v>https://d-nb.info/gnd/7621406-0</v>
      </c>
      <c r="N341" s="3"/>
      <c r="P341" s="3"/>
      <c r="R341" s="2" t="s">
        <v>2380</v>
      </c>
      <c r="S341" s="2" t="s">
        <v>2381</v>
      </c>
      <c r="X341" s="2" t="n">
        <v>0</v>
      </c>
      <c r="Y341" s="2" t="n">
        <v>0</v>
      </c>
      <c r="AG341" s="4"/>
    </row>
    <row r="342" s="2" customFormat="true" ht="12.8" hidden="false" customHeight="false" outlineLevel="0" collapsed="false">
      <c r="A342" s="1" t="s">
        <v>2382</v>
      </c>
      <c r="B342" s="2" t="n">
        <v>329</v>
      </c>
      <c r="D342" s="2" t="s">
        <v>2383</v>
      </c>
      <c r="E342" s="2" t="s">
        <v>2384</v>
      </c>
      <c r="F342" s="2" t="s">
        <v>2385</v>
      </c>
      <c r="H342" s="3" t="s">
        <v>2386</v>
      </c>
      <c r="I342" s="2" t="str">
        <f aca="false">CONCATENATE("http://www.wikidata.org/entity/",H342)</f>
        <v>http://www.wikidata.org/entity/Q11762416</v>
      </c>
      <c r="J342" s="3" t="s">
        <v>2387</v>
      </c>
      <c r="K342" s="2" t="str">
        <f aca="false">CONCATENATE("https://d-nb.info/gnd/",J342)</f>
        <v>https://d-nb.info/gnd/4131653-8</v>
      </c>
      <c r="L342" s="3" t="s">
        <v>2388</v>
      </c>
      <c r="M342" s="2" t="str">
        <f aca="false">CONCATENATE("https://d-nb.info/gnd/",L342)</f>
        <v>https://d-nb.info/gnd/7531629-8</v>
      </c>
      <c r="N342" s="3"/>
      <c r="P342" s="3"/>
      <c r="R342" s="2" t="s">
        <v>2383</v>
      </c>
      <c r="S342" s="2" t="s">
        <v>2385</v>
      </c>
      <c r="X342" s="2" t="n">
        <v>0</v>
      </c>
      <c r="Y342" s="2" t="n">
        <v>0</v>
      </c>
      <c r="AG342" s="4"/>
    </row>
    <row r="343" s="2" customFormat="true" ht="12.8" hidden="false" customHeight="false" outlineLevel="0" collapsed="false">
      <c r="A343" s="1" t="s">
        <v>2389</v>
      </c>
      <c r="B343" s="2" t="n">
        <v>330</v>
      </c>
      <c r="C343" s="2" t="n">
        <v>133</v>
      </c>
      <c r="D343" s="2" t="s">
        <v>2390</v>
      </c>
      <c r="E343" s="2" t="s">
        <v>2391</v>
      </c>
      <c r="F343" s="2" t="s">
        <v>2392</v>
      </c>
      <c r="H343" s="3" t="s">
        <v>2393</v>
      </c>
      <c r="I343" s="2" t="str">
        <f aca="false">CONCATENATE("http://www.wikidata.org/entity/",H343)</f>
        <v>http://www.wikidata.org/entity/Q88202606</v>
      </c>
      <c r="J343" s="3"/>
      <c r="L343" s="3"/>
      <c r="N343" s="3"/>
      <c r="P343" s="3"/>
      <c r="R343" s="2" t="s">
        <v>2394</v>
      </c>
      <c r="S343" s="2" t="s">
        <v>2395</v>
      </c>
      <c r="X343" s="2" t="n">
        <v>0</v>
      </c>
      <c r="Y343" s="2" t="n">
        <v>0</v>
      </c>
      <c r="AG343" s="4"/>
    </row>
    <row r="344" s="2" customFormat="true" ht="12.8" hidden="false" customHeight="false" outlineLevel="0" collapsed="false">
      <c r="A344" s="1" t="s">
        <v>2396</v>
      </c>
      <c r="B344" s="2" t="n">
        <v>331</v>
      </c>
      <c r="D344" s="2" t="s">
        <v>2397</v>
      </c>
      <c r="E344" s="2" t="s">
        <v>2398</v>
      </c>
      <c r="F344" s="2" t="s">
        <v>2399</v>
      </c>
      <c r="H344" s="3" t="s">
        <v>2400</v>
      </c>
      <c r="I344" s="2" t="str">
        <f aca="false">CONCATENATE("http://www.wikidata.org/entity/",H344)</f>
        <v>http://www.wikidata.org/entity/Q6386271</v>
      </c>
      <c r="J344" s="3" t="s">
        <v>2401</v>
      </c>
      <c r="K344" s="2" t="str">
        <f aca="false">CONCATENATE("https://d-nb.info/gnd/",J344)</f>
        <v>https://d-nb.info/gnd/7636581-5</v>
      </c>
      <c r="L344" s="3" t="s">
        <v>2402</v>
      </c>
      <c r="M344" s="2" t="str">
        <f aca="false">CONCATENATE("https://d-nb.info/gnd/",L344)</f>
        <v>https://d-nb.info/gnd/7636582-7</v>
      </c>
      <c r="N344" s="3"/>
      <c r="P344" s="3"/>
      <c r="R344" s="2" t="s">
        <v>2397</v>
      </c>
      <c r="S344" s="2" t="s">
        <v>2399</v>
      </c>
      <c r="X344" s="2" t="n">
        <v>0</v>
      </c>
      <c r="Y344" s="2" t="n">
        <v>0</v>
      </c>
      <c r="AG344" s="4"/>
    </row>
    <row r="345" s="2" customFormat="true" ht="12.8" hidden="false" customHeight="false" outlineLevel="0" collapsed="false">
      <c r="A345" s="1" t="s">
        <v>2403</v>
      </c>
      <c r="B345" s="2" t="n">
        <v>332</v>
      </c>
      <c r="D345" s="2" t="s">
        <v>2404</v>
      </c>
      <c r="E345" s="2" t="s">
        <v>2405</v>
      </c>
      <c r="F345" s="2" t="s">
        <v>2406</v>
      </c>
      <c r="G345" s="2" t="s">
        <v>2407</v>
      </c>
      <c r="H345" s="3" t="s">
        <v>2408</v>
      </c>
      <c r="I345" s="2" t="str">
        <f aca="false">CONCATENATE("http://www.wikidata.org/entity/",H345)</f>
        <v>http://www.wikidata.org/entity/Q1954956</v>
      </c>
      <c r="J345" s="3" t="s">
        <v>2409</v>
      </c>
      <c r="K345" s="2" t="str">
        <f aca="false">CONCATENATE("https://d-nb.info/gnd/",J345)</f>
        <v>https://d-nb.info/gnd/4170790-4</v>
      </c>
      <c r="L345" s="3" t="s">
        <v>2410</v>
      </c>
      <c r="M345" s="2" t="str">
        <f aca="false">CONCATENATE("https://d-nb.info/gnd/",L345)</f>
        <v>https://d-nb.info/gnd/4565284-3</v>
      </c>
      <c r="N345" s="3"/>
      <c r="P345" s="3"/>
      <c r="R345" s="2" t="s">
        <v>2404</v>
      </c>
      <c r="S345" s="2" t="s">
        <v>2406</v>
      </c>
      <c r="X345" s="2" t="n">
        <v>0</v>
      </c>
      <c r="Y345" s="2" t="n">
        <v>1</v>
      </c>
      <c r="AG345" s="4"/>
    </row>
    <row r="346" s="2" customFormat="true" ht="12.8" hidden="false" customHeight="false" outlineLevel="0" collapsed="false">
      <c r="A346" s="1" t="s">
        <v>2411</v>
      </c>
      <c r="B346" s="2" t="n">
        <v>333</v>
      </c>
      <c r="C346" s="2" t="n">
        <v>160</v>
      </c>
      <c r="D346" s="2" t="s">
        <v>2412</v>
      </c>
      <c r="E346" s="2" t="s">
        <v>2413</v>
      </c>
      <c r="F346" s="2" t="s">
        <v>2414</v>
      </c>
      <c r="H346" s="3" t="s">
        <v>2415</v>
      </c>
      <c r="I346" s="2" t="str">
        <f aca="false">CONCATENATE("http://www.wikidata.org/entity/",H346)</f>
        <v>http://www.wikidata.org/entity/Q806349</v>
      </c>
      <c r="J346" s="3" t="s">
        <v>2416</v>
      </c>
      <c r="K346" s="2" t="str">
        <f aca="false">CONCATENATE("https://d-nb.info/gnd/",J346)</f>
        <v>https://d-nb.info/gnd/7628944-8</v>
      </c>
      <c r="L346" s="3"/>
      <c r="N346" s="3"/>
      <c r="P346" s="3" t="n">
        <v>300025668</v>
      </c>
      <c r="Q346" s="2" t="str">
        <f aca="false">CONCATENATE("https://vocab.getty.edu/aat/",P346)</f>
        <v>https://vocab.getty.edu/aat/300025668</v>
      </c>
      <c r="R346" s="2" t="s">
        <v>2417</v>
      </c>
      <c r="S346" s="2" t="s">
        <v>2418</v>
      </c>
      <c r="X346" s="2" t="n">
        <v>0</v>
      </c>
      <c r="Y346" s="2" t="n">
        <v>1</v>
      </c>
      <c r="AG346" s="4"/>
    </row>
    <row r="347" s="2" customFormat="true" ht="12.8" hidden="false" customHeight="false" outlineLevel="0" collapsed="false">
      <c r="A347" s="1" t="s">
        <v>2419</v>
      </c>
      <c r="B347" s="2" t="n">
        <v>334</v>
      </c>
      <c r="C347" s="2" t="n">
        <v>160</v>
      </c>
      <c r="D347" s="2" t="s">
        <v>2420</v>
      </c>
      <c r="E347" s="2" t="s">
        <v>2421</v>
      </c>
      <c r="F347" s="2" t="s">
        <v>2422</v>
      </c>
      <c r="H347" s="3" t="s">
        <v>2423</v>
      </c>
      <c r="I347" s="2" t="str">
        <f aca="false">CONCATENATE("http://www.wikidata.org/entity/",H347)</f>
        <v>http://www.wikidata.org/entity/Q15981151</v>
      </c>
      <c r="J347" s="3" t="s">
        <v>2424</v>
      </c>
      <c r="K347" s="2" t="str">
        <f aca="false">CONCATENATE("https://d-nb.info/gnd/",J347)</f>
        <v>https://d-nb.info/gnd/4028535-2</v>
      </c>
      <c r="L347" s="3" t="s">
        <v>2425</v>
      </c>
      <c r="M347" s="2" t="str">
        <f aca="false">CONCATENATE("https://d-nb.info/gnd/",L347)</f>
        <v>https://d-nb.info/gnd/4263647-4</v>
      </c>
      <c r="N347" s="3"/>
      <c r="P347" s="3"/>
      <c r="R347" s="2" t="s">
        <v>2426</v>
      </c>
      <c r="S347" s="2" t="s">
        <v>2427</v>
      </c>
      <c r="X347" s="2" t="n">
        <v>0</v>
      </c>
      <c r="Y347" s="2" t="n">
        <v>1</v>
      </c>
      <c r="AG347" s="4"/>
    </row>
    <row r="348" s="2" customFormat="true" ht="12.8" hidden="false" customHeight="false" outlineLevel="0" collapsed="false">
      <c r="A348" s="1" t="s">
        <v>2428</v>
      </c>
      <c r="B348" s="2" t="n">
        <v>335</v>
      </c>
      <c r="C348" s="2" t="n">
        <v>169</v>
      </c>
      <c r="D348" s="2" t="s">
        <v>2429</v>
      </c>
      <c r="E348" s="2" t="s">
        <v>2430</v>
      </c>
      <c r="F348" s="2" t="s">
        <v>2431</v>
      </c>
      <c r="H348" s="3" t="s">
        <v>2432</v>
      </c>
      <c r="I348" s="2" t="str">
        <f aca="false">CONCATENATE("http://www.wikidata.org/entity/",H348)</f>
        <v>http://www.wikidata.org/entity/Q17484288</v>
      </c>
      <c r="J348" s="3" t="s">
        <v>2433</v>
      </c>
      <c r="K348" s="2" t="str">
        <f aca="false">CONCATENATE("https://d-nb.info/gnd/",J348)</f>
        <v>https://d-nb.info/gnd/7628911-4</v>
      </c>
      <c r="L348" s="3" t="s">
        <v>2434</v>
      </c>
      <c r="M348" s="2" t="str">
        <f aca="false">CONCATENATE("https://d-nb.info/gnd/",L348)</f>
        <v>https://d-nb.info/gnd/7628909-6</v>
      </c>
      <c r="N348" s="3"/>
      <c r="P348" s="3" t="n">
        <v>300025564</v>
      </c>
      <c r="Q348" s="2" t="str">
        <f aca="false">CONCATENATE("https://vocab.getty.edu/aat/",P348)</f>
        <v>https://vocab.getty.edu/aat/300025564</v>
      </c>
      <c r="R348" s="2" t="s">
        <v>2435</v>
      </c>
      <c r="S348" s="2" t="s">
        <v>2436</v>
      </c>
      <c r="X348" s="2" t="n">
        <v>0</v>
      </c>
      <c r="Y348" s="2" t="n">
        <v>0</v>
      </c>
      <c r="AG348" s="4"/>
    </row>
    <row r="349" s="2" customFormat="true" ht="12.8" hidden="false" customHeight="false" outlineLevel="0" collapsed="false">
      <c r="A349" s="1" t="s">
        <v>2437</v>
      </c>
      <c r="B349" s="2" t="n">
        <v>336</v>
      </c>
      <c r="D349" s="2" t="s">
        <v>2438</v>
      </c>
      <c r="E349" s="2" t="s">
        <v>2439</v>
      </c>
      <c r="F349" s="2" t="s">
        <v>2440</v>
      </c>
      <c r="H349" s="3" t="s">
        <v>2441</v>
      </c>
      <c r="I349" s="2" t="str">
        <f aca="false">CONCATENATE("http://www.wikidata.org/entity/",H349)</f>
        <v>http://www.wikidata.org/entity/Q18805</v>
      </c>
      <c r="J349" s="3" t="s">
        <v>2442</v>
      </c>
      <c r="K349" s="2" t="str">
        <f aca="false">CONCATENATE("https://d-nb.info/gnd/",J349)</f>
        <v>https://d-nb.info/gnd/4041423-1</v>
      </c>
      <c r="L349" s="3" t="s">
        <v>2443</v>
      </c>
      <c r="M349" s="2" t="str">
        <f aca="false">CONCATENATE("https://d-nb.info/gnd/",L349)</f>
        <v>https://d-nb.info/gnd/4202451-1</v>
      </c>
      <c r="N349" s="3"/>
      <c r="P349" s="3"/>
      <c r="R349" s="2" t="s">
        <v>2438</v>
      </c>
      <c r="S349" s="2" t="s">
        <v>2440</v>
      </c>
      <c r="X349" s="2" t="n">
        <v>0</v>
      </c>
      <c r="Y349" s="2" t="n">
        <v>0</v>
      </c>
      <c r="AG349" s="4"/>
    </row>
    <row r="350" s="2" customFormat="true" ht="12.8" hidden="false" customHeight="false" outlineLevel="0" collapsed="false">
      <c r="A350" s="1" t="s">
        <v>2444</v>
      </c>
      <c r="B350" s="2" t="n">
        <v>337</v>
      </c>
      <c r="C350" s="2" t="n">
        <v>336</v>
      </c>
      <c r="D350" s="2" t="s">
        <v>2445</v>
      </c>
      <c r="E350" s="2" t="s">
        <v>2446</v>
      </c>
      <c r="F350" s="2" t="s">
        <v>2447</v>
      </c>
      <c r="H350" s="3" t="s">
        <v>2448</v>
      </c>
      <c r="I350" s="2" t="str">
        <f aca="false">CONCATENATE("http://www.wikidata.org/entity/",H350)</f>
        <v>http://www.wikidata.org/entity/Q593644</v>
      </c>
      <c r="J350" s="3" t="s">
        <v>2449</v>
      </c>
      <c r="K350" s="2" t="str">
        <f aca="false">CONCATENATE("https://d-nb.info/gnd/",J350)</f>
        <v>https://d-nb.info/gnd/4009836-9</v>
      </c>
      <c r="L350" s="3" t="s">
        <v>2450</v>
      </c>
      <c r="M350" s="2" t="str">
        <f aca="false">CONCATENATE("https://d-nb.info/gnd/",L350)</f>
        <v>https://d-nb.info/gnd/4219058-7</v>
      </c>
      <c r="N350" s="3"/>
      <c r="P350" s="3" t="n">
        <v>300025793</v>
      </c>
      <c r="Q350" s="2" t="str">
        <f aca="false">CONCATENATE("https://vocab.getty.edu/aat/",P350)</f>
        <v>https://vocab.getty.edu/aat/300025793</v>
      </c>
      <c r="R350" s="2" t="s">
        <v>2451</v>
      </c>
      <c r="S350" s="2" t="s">
        <v>2452</v>
      </c>
      <c r="X350" s="2" t="n">
        <v>0</v>
      </c>
      <c r="Y350" s="2" t="n">
        <v>0</v>
      </c>
      <c r="AG350" s="4"/>
    </row>
    <row r="351" s="2" customFormat="true" ht="12.8" hidden="false" customHeight="false" outlineLevel="0" collapsed="false">
      <c r="A351" s="1" t="s">
        <v>2453</v>
      </c>
      <c r="B351" s="2" t="n">
        <v>338</v>
      </c>
      <c r="D351" s="2" t="s">
        <v>2454</v>
      </c>
      <c r="E351" s="2" t="s">
        <v>2455</v>
      </c>
      <c r="F351" s="2" t="s">
        <v>2456</v>
      </c>
      <c r="H351" s="3" t="s">
        <v>2457</v>
      </c>
      <c r="I351" s="2" t="str">
        <f aca="false">CONCATENATE("http://www.wikidata.org/entity/",H351)</f>
        <v>http://www.wikidata.org/entity/Q20739288</v>
      </c>
      <c r="J351" s="3" t="n">
        <v>1180662172</v>
      </c>
      <c r="K351" s="2" t="str">
        <f aca="false">CONCATENATE("https://d-nb.info/gnd/",J351)</f>
        <v>https://d-nb.info/gnd/1180662172</v>
      </c>
      <c r="L351" s="3" t="n">
        <v>1180662172</v>
      </c>
      <c r="M351" s="2" t="str">
        <f aca="false">CONCATENATE("https://d-nb.info/gnd/",L351)</f>
        <v>https://d-nb.info/gnd/1180662172</v>
      </c>
      <c r="N351" s="3"/>
      <c r="P351" s="3"/>
      <c r="R351" s="2" t="s">
        <v>2454</v>
      </c>
      <c r="S351" s="2" t="s">
        <v>2456</v>
      </c>
      <c r="X351" s="2" t="n">
        <v>0</v>
      </c>
      <c r="Y351" s="2" t="n">
        <v>0</v>
      </c>
      <c r="AG351" s="4"/>
    </row>
    <row r="352" s="2" customFormat="true" ht="12.8" hidden="false" customHeight="false" outlineLevel="0" collapsed="false">
      <c r="A352" s="1" t="s">
        <v>2458</v>
      </c>
      <c r="B352" s="2" t="n">
        <v>339</v>
      </c>
      <c r="D352" s="2" t="s">
        <v>2459</v>
      </c>
      <c r="E352" s="2" t="s">
        <v>2460</v>
      </c>
      <c r="F352" s="2" t="s">
        <v>2461</v>
      </c>
      <c r="H352" s="3" t="s">
        <v>2462</v>
      </c>
      <c r="I352" s="2" t="str">
        <f aca="false">CONCATENATE("http://www.wikidata.org/entity/",H352)</f>
        <v>http://www.wikidata.org/entity/Q15839134</v>
      </c>
      <c r="J352" s="3" t="s">
        <v>2463</v>
      </c>
      <c r="K352" s="2" t="str">
        <f aca="false">CONCATENATE("https://d-nb.info/gnd/",J352)</f>
        <v>https://d-nb.info/gnd/4172403-3</v>
      </c>
      <c r="L352" s="3" t="s">
        <v>2464</v>
      </c>
      <c r="M352" s="2" t="str">
        <f aca="false">CONCATENATE("https://d-nb.info/gnd/",L352)</f>
        <v>https://d-nb.info/gnd/7721049-9</v>
      </c>
      <c r="N352" s="3"/>
      <c r="P352" s="3" t="n">
        <v>300025797</v>
      </c>
      <c r="Q352" s="2" t="str">
        <f aca="false">CONCATENATE("https://vocab.getty.edu/aat/",P352)</f>
        <v>https://vocab.getty.edu/aat/300025797</v>
      </c>
      <c r="R352" s="2" t="s">
        <v>2459</v>
      </c>
      <c r="S352" s="2" t="s">
        <v>2461</v>
      </c>
      <c r="X352" s="2" t="n">
        <v>0</v>
      </c>
      <c r="Y352" s="2" t="n">
        <v>0</v>
      </c>
      <c r="AG352" s="4"/>
    </row>
    <row r="353" s="2" customFormat="true" ht="12.8" hidden="false" customHeight="false" outlineLevel="0" collapsed="false">
      <c r="A353" s="1" t="s">
        <v>2465</v>
      </c>
      <c r="B353" s="2" t="n">
        <v>340</v>
      </c>
      <c r="D353" s="2" t="s">
        <v>2466</v>
      </c>
      <c r="E353" s="2" t="s">
        <v>2467</v>
      </c>
      <c r="F353" s="2" t="s">
        <v>2468</v>
      </c>
      <c r="H353" s="3" t="s">
        <v>2469</v>
      </c>
      <c r="I353" s="2" t="str">
        <f aca="false">CONCATENATE("http://www.wikidata.org/entity/",H353)</f>
        <v>http://www.wikidata.org/entity/Q1231865</v>
      </c>
      <c r="J353" s="3" t="s">
        <v>2470</v>
      </c>
      <c r="K353" s="2" t="str">
        <f aca="false">CONCATENATE("https://d-nb.info/gnd/",J353)</f>
        <v>https://d-nb.info/gnd/4044300-0</v>
      </c>
      <c r="L353" s="3" t="s">
        <v>2471</v>
      </c>
      <c r="M353" s="2" t="str">
        <f aca="false">CONCATENATE("https://d-nb.info/gnd/",L353)</f>
        <v>https://d-nb.info/gnd/4135404-7</v>
      </c>
      <c r="N353" s="3"/>
      <c r="P353" s="3"/>
      <c r="R353" s="2" t="s">
        <v>2466</v>
      </c>
      <c r="S353" s="2" t="s">
        <v>2468</v>
      </c>
      <c r="X353" s="2" t="n">
        <v>0</v>
      </c>
      <c r="Y353" s="2" t="n">
        <v>0</v>
      </c>
      <c r="AG353" s="4"/>
    </row>
    <row r="354" s="2" customFormat="true" ht="12.8" hidden="false" customHeight="false" outlineLevel="0" collapsed="false">
      <c r="A354" s="1" t="s">
        <v>2472</v>
      </c>
      <c r="B354" s="2" t="n">
        <v>341</v>
      </c>
      <c r="D354" s="2" t="s">
        <v>2473</v>
      </c>
      <c r="E354" s="2" t="s">
        <v>2474</v>
      </c>
      <c r="F354" s="2" t="s">
        <v>2475</v>
      </c>
      <c r="H354" s="3" t="s">
        <v>2476</v>
      </c>
      <c r="I354" s="2" t="str">
        <f aca="false">CONCATENATE("http://www.wikidata.org/entity/",H354)</f>
        <v>http://www.wikidata.org/entity/Q1238570</v>
      </c>
      <c r="J354" s="3" t="s">
        <v>2477</v>
      </c>
      <c r="K354" s="2" t="str">
        <f aca="false">CONCATENATE("https://d-nb.info/gnd/",J354)</f>
        <v>https://d-nb.info/gnd/4175053-6</v>
      </c>
      <c r="L354" s="3" t="s">
        <v>2478</v>
      </c>
      <c r="M354" s="2" t="str">
        <f aca="false">CONCATENATE("https://d-nb.info/gnd/",L354)</f>
        <v>https://d-nb.info/gnd/4629643-8</v>
      </c>
      <c r="N354" s="3"/>
      <c r="P354" s="3" t="n">
        <v>300025596</v>
      </c>
      <c r="Q354" s="2" t="str">
        <f aca="false">CONCATENATE("https://vocab.getty.edu/aat/",P354)</f>
        <v>https://vocab.getty.edu/aat/300025596</v>
      </c>
      <c r="R354" s="2" t="s">
        <v>2473</v>
      </c>
      <c r="S354" s="2" t="s">
        <v>2475</v>
      </c>
      <c r="X354" s="2" t="n">
        <v>0</v>
      </c>
      <c r="Y354" s="2" t="n">
        <v>0</v>
      </c>
      <c r="AG354" s="4"/>
    </row>
    <row r="355" s="2" customFormat="true" ht="12.8" hidden="false" customHeight="false" outlineLevel="0" collapsed="false">
      <c r="A355" s="1" t="s">
        <v>2479</v>
      </c>
      <c r="B355" s="2" t="n">
        <v>342</v>
      </c>
      <c r="D355" s="2" t="s">
        <v>2480</v>
      </c>
      <c r="E355" s="2" t="s">
        <v>2481</v>
      </c>
      <c r="F355" s="2" t="s">
        <v>2482</v>
      </c>
      <c r="H355" s="3" t="s">
        <v>2483</v>
      </c>
      <c r="I355" s="2" t="str">
        <f aca="false">CONCATENATE("http://www.wikidata.org/entity/",H355)</f>
        <v>http://www.wikidata.org/entity/Q315625</v>
      </c>
      <c r="J355" s="3" t="s">
        <v>2484</v>
      </c>
      <c r="K355" s="2" t="str">
        <f aca="false">CONCATENATE("https://d-nb.info/gnd/",J355)</f>
        <v>https://d-nb.info/gnd/4225052-3</v>
      </c>
      <c r="L355" s="3" t="s">
        <v>2485</v>
      </c>
      <c r="M355" s="2" t="str">
        <f aca="false">CONCATENATE("https://d-nb.info/gnd/",L355)</f>
        <v>https://d-nb.info/gnd/4826648-6</v>
      </c>
      <c r="N355" s="3"/>
      <c r="P355" s="3" t="n">
        <v>300025902</v>
      </c>
      <c r="Q355" s="2" t="str">
        <f aca="false">CONCATENATE("https://vocab.getty.edu/aat/",P355)</f>
        <v>https://vocab.getty.edu/aat/300025902</v>
      </c>
      <c r="R355" s="2" t="s">
        <v>2480</v>
      </c>
      <c r="S355" s="2" t="s">
        <v>2482</v>
      </c>
      <c r="X355" s="2" t="n">
        <v>0</v>
      </c>
      <c r="Y355" s="2" t="n">
        <v>0</v>
      </c>
      <c r="AG355" s="4"/>
    </row>
    <row r="356" s="2" customFormat="true" ht="12.8" hidden="false" customHeight="false" outlineLevel="0" collapsed="false">
      <c r="A356" s="1" t="s">
        <v>2486</v>
      </c>
      <c r="B356" s="2" t="n">
        <v>343</v>
      </c>
      <c r="C356" s="2" t="n">
        <v>190</v>
      </c>
      <c r="D356" s="2" t="s">
        <v>2487</v>
      </c>
      <c r="F356" s="2" t="s">
        <v>2488</v>
      </c>
      <c r="H356" s="3" t="s">
        <v>2489</v>
      </c>
      <c r="I356" s="2" t="str">
        <f aca="false">CONCATENATE("http://www.wikidata.org/entity/",H356)</f>
        <v>http://www.wikidata.org/entity/Q19952916</v>
      </c>
      <c r="J356" s="3"/>
      <c r="L356" s="3"/>
      <c r="N356" s="3"/>
      <c r="P356" s="3"/>
      <c r="R356" s="2" t="s">
        <v>2490</v>
      </c>
      <c r="S356" s="2" t="s">
        <v>2491</v>
      </c>
      <c r="X356" s="2" t="n">
        <v>0</v>
      </c>
      <c r="Y356" s="2" t="n">
        <v>0</v>
      </c>
      <c r="AG356" s="4"/>
    </row>
    <row r="357" s="2" customFormat="true" ht="12.8" hidden="false" customHeight="false" outlineLevel="0" collapsed="false">
      <c r="A357" s="1" t="s">
        <v>2492</v>
      </c>
      <c r="B357" s="2" t="n">
        <v>344</v>
      </c>
      <c r="D357" s="2" t="s">
        <v>2493</v>
      </c>
      <c r="E357" s="2" t="s">
        <v>2494</v>
      </c>
      <c r="F357" s="2" t="s">
        <v>2495</v>
      </c>
      <c r="H357" s="3" t="s">
        <v>2496</v>
      </c>
      <c r="I357" s="2" t="str">
        <f aca="false">CONCATENATE("http://www.wikidata.org/entity/",H357)</f>
        <v>http://www.wikidata.org/entity/Q5482740</v>
      </c>
      <c r="J357" s="3" t="s">
        <v>2497</v>
      </c>
      <c r="K357" s="2" t="str">
        <f aca="false">CONCATENATE("https://d-nb.info/gnd/",J357)</f>
        <v>https://d-nb.info/gnd/4175854-7</v>
      </c>
      <c r="L357" s="3" t="s">
        <v>2498</v>
      </c>
      <c r="M357" s="2" t="str">
        <f aca="false">CONCATENATE("https://d-nb.info/gnd/",L357)</f>
        <v>https://d-nb.info/gnd/4714952-8</v>
      </c>
      <c r="N357" s="3"/>
      <c r="P357" s="3" t="n">
        <v>300025819</v>
      </c>
      <c r="Q357" s="2" t="str">
        <f aca="false">CONCATENATE("https://vocab.getty.edu/aat/",P357)</f>
        <v>https://vocab.getty.edu/aat/300025819</v>
      </c>
      <c r="R357" s="2" t="s">
        <v>2493</v>
      </c>
      <c r="S357" s="2" t="s">
        <v>2495</v>
      </c>
      <c r="X357" s="2" t="n">
        <v>0</v>
      </c>
      <c r="Y357" s="2" t="n">
        <v>0</v>
      </c>
      <c r="AG357" s="4"/>
    </row>
    <row r="358" s="2" customFormat="true" ht="12.8" hidden="false" customHeight="false" outlineLevel="0" collapsed="false">
      <c r="A358" s="1" t="s">
        <v>2499</v>
      </c>
      <c r="B358" s="2" t="n">
        <v>345</v>
      </c>
      <c r="D358" s="2" t="s">
        <v>2500</v>
      </c>
      <c r="E358" s="2" t="s">
        <v>2501</v>
      </c>
      <c r="F358" s="2" t="s">
        <v>2502</v>
      </c>
      <c r="H358" s="3" t="s">
        <v>2503</v>
      </c>
      <c r="I358" s="2" t="str">
        <f aca="false">CONCATENATE("http://www.wikidata.org/entity/",H358)</f>
        <v>http://www.wikidata.org/entity/Q212980</v>
      </c>
      <c r="J358" s="3" t="s">
        <v>2504</v>
      </c>
      <c r="K358" s="2" t="str">
        <f aca="false">CONCATENATE("https://d-nb.info/gnd/",J358)</f>
        <v>https://d-nb.info/gnd/4176224-1</v>
      </c>
      <c r="L358" s="3" t="s">
        <v>2505</v>
      </c>
      <c r="M358" s="2" t="str">
        <f aca="false">CONCATENATE("https://d-nb.info/gnd/",L358)</f>
        <v>https://d-nb.info/gnd/4047701-0</v>
      </c>
      <c r="N358" s="3"/>
      <c r="P358" s="3" t="n">
        <v>300025597</v>
      </c>
      <c r="Q358" s="2" t="str">
        <f aca="false">CONCATENATE("https://vocab.getty.edu/aat/",P358)</f>
        <v>https://vocab.getty.edu/aat/300025597</v>
      </c>
      <c r="R358" s="2" t="s">
        <v>2500</v>
      </c>
      <c r="S358" s="2" t="s">
        <v>2502</v>
      </c>
      <c r="X358" s="2" t="n">
        <v>0</v>
      </c>
      <c r="Y358" s="2" t="n">
        <v>0</v>
      </c>
      <c r="AG358" s="4"/>
    </row>
    <row r="359" s="2" customFormat="true" ht="12.8" hidden="false" customHeight="false" outlineLevel="0" collapsed="false">
      <c r="A359" s="1" t="s">
        <v>2506</v>
      </c>
      <c r="B359" s="2" t="n">
        <v>346</v>
      </c>
      <c r="D359" s="2" t="s">
        <v>2507</v>
      </c>
      <c r="E359" s="2" t="s">
        <v>2508</v>
      </c>
      <c r="F359" s="2" t="s">
        <v>2509</v>
      </c>
      <c r="H359" s="3" t="s">
        <v>2510</v>
      </c>
      <c r="I359" s="2" t="str">
        <f aca="false">CONCATENATE("http://www.wikidata.org/entity/",H359)</f>
        <v>http://www.wikidata.org/entity/Q1900167</v>
      </c>
      <c r="J359" s="3" t="s">
        <v>2511</v>
      </c>
      <c r="K359" s="2" t="str">
        <f aca="false">CONCATENATE("https://d-nb.info/gnd/",J359)</f>
        <v>https://d-nb.info/gnd/4047743-5</v>
      </c>
      <c r="L359" s="3" t="s">
        <v>2512</v>
      </c>
      <c r="M359" s="2" t="str">
        <f aca="false">CONCATENATE("https://d-nb.info/gnd/",L359)</f>
        <v>https://d-nb.info/gnd/4301430-6</v>
      </c>
      <c r="N359" s="3"/>
      <c r="P359" s="3"/>
      <c r="R359" s="2" t="s">
        <v>2507</v>
      </c>
      <c r="S359" s="2" t="s">
        <v>2509</v>
      </c>
      <c r="X359" s="2" t="n">
        <v>0</v>
      </c>
      <c r="Y359" s="2" t="n">
        <v>0</v>
      </c>
      <c r="AG359" s="4"/>
    </row>
    <row r="360" s="2" customFormat="true" ht="12.8" hidden="false" customHeight="false" outlineLevel="0" collapsed="false">
      <c r="A360" s="1" t="s">
        <v>2513</v>
      </c>
      <c r="B360" s="2" t="n">
        <v>347</v>
      </c>
      <c r="C360" s="2" t="n">
        <v>346</v>
      </c>
      <c r="D360" s="2" t="s">
        <v>2514</v>
      </c>
      <c r="E360" s="2" t="s">
        <v>2515</v>
      </c>
      <c r="F360" s="2" t="s">
        <v>2516</v>
      </c>
      <c r="H360" s="3" t="s">
        <v>2517</v>
      </c>
      <c r="I360" s="2" t="str">
        <f aca="false">CONCATENATE("http://www.wikidata.org/entity/",H360)</f>
        <v>http://www.wikidata.org/entity/Q10334002</v>
      </c>
      <c r="J360" s="3" t="s">
        <v>2518</v>
      </c>
      <c r="K360" s="2" t="str">
        <f aca="false">CONCATENATE("https://d-nb.info/gnd/",J360)</f>
        <v>https://d-nb.info/gnd/4040877-2</v>
      </c>
      <c r="L360" s="3" t="s">
        <v>2519</v>
      </c>
      <c r="M360" s="2" t="str">
        <f aca="false">CONCATENATE("https://d-nb.info/gnd/",L360)</f>
        <v>https://d-nb.info/gnd/7626008-2</v>
      </c>
      <c r="N360" s="3"/>
      <c r="P360" s="3"/>
      <c r="R360" s="2" t="s">
        <v>2520</v>
      </c>
      <c r="S360" s="2" t="s">
        <v>2521</v>
      </c>
      <c r="X360" s="2" t="n">
        <v>0</v>
      </c>
      <c r="Y360" s="2" t="n">
        <v>0</v>
      </c>
      <c r="AG360" s="4"/>
    </row>
    <row r="361" s="2" customFormat="true" ht="12.8" hidden="false" customHeight="false" outlineLevel="0" collapsed="false">
      <c r="A361" s="1" t="s">
        <v>2522</v>
      </c>
      <c r="B361" s="2" t="n">
        <v>348</v>
      </c>
      <c r="D361" s="2" t="s">
        <v>2523</v>
      </c>
      <c r="E361" s="2" t="s">
        <v>2524</v>
      </c>
      <c r="F361" s="2" t="s">
        <v>2525</v>
      </c>
      <c r="H361" s="3" t="s">
        <v>2526</v>
      </c>
      <c r="I361" s="2" t="str">
        <f aca="false">CONCATENATE("http://www.wikidata.org/entity/",H361)</f>
        <v>http://www.wikidata.org/entity/Q6051619</v>
      </c>
      <c r="J361" s="3" t="s">
        <v>2527</v>
      </c>
      <c r="K361" s="2" t="str">
        <f aca="false">CONCATENATE("https://d-nb.info/gnd/",J361)</f>
        <v>https://d-nb.info/gnd/4176310-5</v>
      </c>
      <c r="L361" s="3" t="s">
        <v>2528</v>
      </c>
      <c r="M361" s="2" t="str">
        <f aca="false">CONCATENATE("https://d-nb.info/gnd/",L361)</f>
        <v>https://d-nb.info/gnd/4381669-1</v>
      </c>
      <c r="N361" s="3"/>
      <c r="P361" s="3"/>
      <c r="R361" s="2" t="s">
        <v>2523</v>
      </c>
      <c r="S361" s="2" t="s">
        <v>2525</v>
      </c>
      <c r="X361" s="2" t="n">
        <v>1</v>
      </c>
      <c r="Y361" s="2" t="n">
        <v>0</v>
      </c>
      <c r="AG361" s="4"/>
    </row>
    <row r="362" s="2" customFormat="true" ht="12.8" hidden="false" customHeight="false" outlineLevel="0" collapsed="false">
      <c r="A362" s="1" t="s">
        <v>2529</v>
      </c>
      <c r="B362" s="2" t="n">
        <v>349</v>
      </c>
      <c r="D362" s="2" t="s">
        <v>2530</v>
      </c>
      <c r="E362" s="2" t="s">
        <v>2531</v>
      </c>
      <c r="F362" s="2" t="s">
        <v>2532</v>
      </c>
      <c r="H362" s="3" t="s">
        <v>2533</v>
      </c>
      <c r="I362" s="2" t="str">
        <f aca="false">CONCATENATE("http://www.wikidata.org/entity/",H362)</f>
        <v>http://www.wikidata.org/entity/Q51792960</v>
      </c>
      <c r="J362" s="3" t="s">
        <v>2534</v>
      </c>
      <c r="K362" s="2" t="str">
        <f aca="false">CONCATENATE("https://d-nb.info/gnd/",J362)</f>
        <v>https://d-nb.info/gnd/4177079-1</v>
      </c>
      <c r="L362" s="3" t="s">
        <v>2535</v>
      </c>
      <c r="M362" s="2" t="str">
        <f aca="false">CONCATENATE("https://d-nb.info/gnd/",L362)</f>
        <v>https://d-nb.info/gnd/7540453-9</v>
      </c>
      <c r="N362" s="3"/>
      <c r="P362" s="3"/>
      <c r="R362" s="2" t="s">
        <v>2530</v>
      </c>
      <c r="S362" s="2" t="s">
        <v>2532</v>
      </c>
      <c r="X362" s="2" t="n">
        <v>0</v>
      </c>
      <c r="Y362" s="2" t="n">
        <v>0</v>
      </c>
      <c r="AG362" s="4"/>
    </row>
    <row r="363" s="2" customFormat="true" ht="12.8" hidden="false" customHeight="false" outlineLevel="0" collapsed="false">
      <c r="A363" s="1" t="s">
        <v>2536</v>
      </c>
      <c r="B363" s="2" t="n">
        <v>350</v>
      </c>
      <c r="D363" s="2" t="s">
        <v>2537</v>
      </c>
      <c r="E363" s="2" t="s">
        <v>2538</v>
      </c>
      <c r="F363" s="2" t="s">
        <v>2539</v>
      </c>
      <c r="H363" s="3" t="s">
        <v>2540</v>
      </c>
      <c r="I363" s="2" t="str">
        <f aca="false">CONCATENATE("http://www.wikidata.org/entity/",H363)</f>
        <v>http://www.wikidata.org/entity/Q4108101</v>
      </c>
      <c r="J363" s="3" t="s">
        <v>2541</v>
      </c>
      <c r="K363" s="2" t="str">
        <f aca="false">CONCATENATE("https://d-nb.info/gnd/",J363)</f>
        <v>https://d-nb.info/gnd/4180006-0</v>
      </c>
      <c r="L363" s="3" t="s">
        <v>2542</v>
      </c>
      <c r="M363" s="2" t="str">
        <f aca="false">CONCATENATE("https://d-nb.info/gnd/",L363)</f>
        <v>https://d-nb.info/gnd/4246313-0</v>
      </c>
      <c r="N363" s="3"/>
      <c r="P363" s="3" t="n">
        <v>300025744</v>
      </c>
      <c r="Q363" s="2" t="str">
        <f aca="false">CONCATENATE("https://vocab.getty.edu/aat/",P363)</f>
        <v>https://vocab.getty.edu/aat/300025744</v>
      </c>
      <c r="R363" s="2" t="s">
        <v>2537</v>
      </c>
      <c r="S363" s="2" t="s">
        <v>2539</v>
      </c>
      <c r="X363" s="2" t="n">
        <v>0</v>
      </c>
      <c r="Y363" s="2" t="n">
        <v>0</v>
      </c>
      <c r="AG363" s="4"/>
    </row>
    <row r="364" s="2" customFormat="true" ht="12.8" hidden="false" customHeight="false" outlineLevel="0" collapsed="false">
      <c r="A364" s="1" t="s">
        <v>2543</v>
      </c>
      <c r="B364" s="2" t="n">
        <v>351</v>
      </c>
      <c r="C364" s="2" t="n">
        <v>289</v>
      </c>
      <c r="D364" s="2" t="s">
        <v>2544</v>
      </c>
      <c r="E364" s="2" t="s">
        <v>2545</v>
      </c>
      <c r="F364" s="2" t="s">
        <v>2546</v>
      </c>
      <c r="H364" s="3" t="s">
        <v>2547</v>
      </c>
      <c r="I364" s="2" t="str">
        <f aca="false">CONCATENATE("http://www.wikidata.org/entity/",H364)</f>
        <v>http://www.wikidata.org/entity/Q61996872</v>
      </c>
      <c r="J364" s="3" t="s">
        <v>2548</v>
      </c>
      <c r="K364" s="2" t="str">
        <f aca="false">CONCATENATE("https://d-nb.info/gnd/",J364)</f>
        <v>https://d-nb.info/gnd/4398800-3</v>
      </c>
      <c r="L364" s="3" t="s">
        <v>2549</v>
      </c>
      <c r="M364" s="2" t="str">
        <f aca="false">CONCATENATE("https://d-nb.info/gnd/",L364)</f>
        <v>https://d-nb.info/gnd/7628949-7</v>
      </c>
      <c r="N364" s="3"/>
      <c r="P364" s="3"/>
      <c r="R364" s="2" t="s">
        <v>2550</v>
      </c>
      <c r="S364" s="2" t="s">
        <v>2551</v>
      </c>
      <c r="X364" s="2" t="n">
        <v>1</v>
      </c>
      <c r="Y364" s="2" t="n">
        <v>0</v>
      </c>
      <c r="AG364" s="4"/>
    </row>
    <row r="365" s="2" customFormat="true" ht="12.8" hidden="false" customHeight="false" outlineLevel="0" collapsed="false">
      <c r="A365" s="1" t="s">
        <v>2552</v>
      </c>
      <c r="B365" s="2" t="n">
        <v>352</v>
      </c>
      <c r="D365" s="2" t="s">
        <v>2553</v>
      </c>
      <c r="E365" s="2" t="s">
        <v>2554</v>
      </c>
      <c r="F365" s="2" t="s">
        <v>2555</v>
      </c>
      <c r="H365" s="3" t="s">
        <v>2556</v>
      </c>
      <c r="I365" s="2" t="str">
        <f aca="false">CONCATENATE("http://www.wikidata.org/entity/",H365)</f>
        <v>http://www.wikidata.org/entity/Q1126281</v>
      </c>
      <c r="J365" s="3" t="s">
        <v>2557</v>
      </c>
      <c r="K365" s="2" t="str">
        <f aca="false">CONCATENATE("https://d-nb.info/gnd/",J365)</f>
        <v>https://d-nb.info/gnd/4226250-1</v>
      </c>
      <c r="L365" s="3" t="s">
        <v>2558</v>
      </c>
      <c r="M365" s="2" t="str">
        <f aca="false">CONCATENATE("https://d-nb.info/gnd/",L365)</f>
        <v>https://d-nb.info/gnd/4226251-3</v>
      </c>
      <c r="N365" s="3"/>
      <c r="P365" s="3"/>
      <c r="R365" s="2" t="s">
        <v>2553</v>
      </c>
      <c r="S365" s="2" t="s">
        <v>2555</v>
      </c>
      <c r="X365" s="2" t="n">
        <v>0</v>
      </c>
      <c r="Y365" s="2" t="n">
        <v>0</v>
      </c>
      <c r="AG365" s="4"/>
    </row>
    <row r="366" s="2" customFormat="true" ht="12.8" hidden="false" customHeight="false" outlineLevel="0" collapsed="false">
      <c r="A366" s="1" t="s">
        <v>2559</v>
      </c>
      <c r="B366" s="2" t="n">
        <v>353</v>
      </c>
      <c r="D366" s="2" t="s">
        <v>2560</v>
      </c>
      <c r="E366" s="2" t="s">
        <v>2561</v>
      </c>
      <c r="F366" s="2" t="s">
        <v>2562</v>
      </c>
      <c r="H366" s="3" t="s">
        <v>2563</v>
      </c>
      <c r="I366" s="2" t="str">
        <f aca="false">CONCATENATE("http://www.wikidata.org/entity/",H366)</f>
        <v>http://www.wikidata.org/entity/Q2306091</v>
      </c>
      <c r="J366" s="3" t="s">
        <v>2564</v>
      </c>
      <c r="K366" s="2" t="str">
        <f aca="false">CONCATENATE("https://d-nb.info/gnd/",J366)</f>
        <v>https://d-nb.info/gnd/4055930-0</v>
      </c>
      <c r="L366" s="3" t="s">
        <v>2565</v>
      </c>
      <c r="M366" s="2" t="str">
        <f aca="false">CONCATENATE("https://d-nb.info/gnd/",L366)</f>
        <v>https://d-nb.info/gnd/4393865-6</v>
      </c>
      <c r="N366" s="3"/>
      <c r="P366" s="3" t="n">
        <v>300025600</v>
      </c>
      <c r="Q366" s="2" t="str">
        <f aca="false">CONCATENATE("https://vocab.getty.edu/aat/",P366)</f>
        <v>https://vocab.getty.edu/aat/300025600</v>
      </c>
      <c r="R366" s="2" t="s">
        <v>2560</v>
      </c>
      <c r="S366" s="2" t="s">
        <v>2562</v>
      </c>
      <c r="X366" s="2" t="n">
        <v>0</v>
      </c>
      <c r="Y366" s="2" t="n">
        <v>0</v>
      </c>
      <c r="AG366" s="4"/>
    </row>
    <row r="367" s="2" customFormat="true" ht="12.8" hidden="false" customHeight="false" outlineLevel="0" collapsed="false">
      <c r="A367" s="1" t="s">
        <v>2566</v>
      </c>
      <c r="B367" s="2" t="n">
        <v>354</v>
      </c>
      <c r="C367" s="2" t="n">
        <v>353</v>
      </c>
      <c r="D367" s="2" t="s">
        <v>2567</v>
      </c>
      <c r="E367" s="2" t="s">
        <v>2568</v>
      </c>
      <c r="F367" s="2" t="s">
        <v>2569</v>
      </c>
      <c r="H367" s="3" t="s">
        <v>2570</v>
      </c>
      <c r="I367" s="2" t="str">
        <f aca="false">CONCATENATE("http://www.wikidata.org/entity/",H367)</f>
        <v>http://www.wikidata.org/entity/Q61831758</v>
      </c>
      <c r="J367" s="3" t="s">
        <v>2571</v>
      </c>
      <c r="K367" s="2" t="str">
        <f aca="false">CONCATENATE("https://d-nb.info/gnd/",J367)</f>
        <v>https://d-nb.info/gnd/4398833-7</v>
      </c>
      <c r="L367" s="3" t="s">
        <v>2572</v>
      </c>
      <c r="M367" s="2" t="str">
        <f aca="false">CONCATENATE("https://d-nb.info/gnd/",L367)</f>
        <v>https://d-nb.info/gnd/128686352X</v>
      </c>
      <c r="N367" s="3"/>
      <c r="P367" s="3"/>
      <c r="R367" s="2" t="s">
        <v>2573</v>
      </c>
      <c r="S367" s="2" t="s">
        <v>2574</v>
      </c>
      <c r="X367" s="2" t="n">
        <v>0</v>
      </c>
      <c r="Y367" s="2" t="n">
        <v>0</v>
      </c>
      <c r="AG367" s="4"/>
    </row>
    <row r="368" s="2" customFormat="true" ht="12.8" hidden="false" customHeight="false" outlineLevel="0" collapsed="false">
      <c r="A368" s="1" t="s">
        <v>2575</v>
      </c>
      <c r="B368" s="2" t="n">
        <v>355</v>
      </c>
      <c r="D368" s="2" t="s">
        <v>2576</v>
      </c>
      <c r="E368" s="2" t="s">
        <v>2577</v>
      </c>
      <c r="F368" s="2" t="s">
        <v>2578</v>
      </c>
      <c r="H368" s="3" t="s">
        <v>2579</v>
      </c>
      <c r="I368" s="2" t="str">
        <f aca="false">CONCATENATE("http://www.wikidata.org/entity/",H368)</f>
        <v>http://www.wikidata.org/entity/Q2066131</v>
      </c>
      <c r="J368" s="3" t="s">
        <v>2580</v>
      </c>
      <c r="K368" s="2" t="str">
        <f aca="false">CONCATENATE("https://d-nb.info/gnd/",J368)</f>
        <v>https://d-nb.info/gnd/4056399-6</v>
      </c>
      <c r="L368" s="3" t="s">
        <v>2581</v>
      </c>
      <c r="M368" s="2" t="str">
        <f aca="false">CONCATENATE("https://d-nb.info/gnd/",L368)</f>
        <v>https://d-nb.info/gnd/4137547-6</v>
      </c>
      <c r="N368" s="3"/>
      <c r="P368" s="3" t="n">
        <v>300236025</v>
      </c>
      <c r="Q368" s="2" t="str">
        <f aca="false">CONCATENATE("https://vocab.getty.edu/aat/",P368)</f>
        <v>https://vocab.getty.edu/aat/300236025</v>
      </c>
      <c r="R368" s="2" t="s">
        <v>2576</v>
      </c>
      <c r="S368" s="2" t="s">
        <v>2578</v>
      </c>
      <c r="X368" s="2" t="n">
        <v>0</v>
      </c>
      <c r="Y368" s="2" t="n">
        <v>0</v>
      </c>
      <c r="AG368" s="4"/>
    </row>
    <row r="369" s="2" customFormat="true" ht="12.8" hidden="false" customHeight="false" outlineLevel="0" collapsed="false">
      <c r="A369" s="1" t="s">
        <v>2582</v>
      </c>
      <c r="B369" s="2" t="n">
        <v>356</v>
      </c>
      <c r="C369" s="2" t="n">
        <v>355</v>
      </c>
      <c r="D369" s="2" t="s">
        <v>2583</v>
      </c>
      <c r="E369" s="2" t="s">
        <v>2584</v>
      </c>
      <c r="F369" s="2" t="s">
        <v>2585</v>
      </c>
      <c r="H369" s="3" t="s">
        <v>2586</v>
      </c>
      <c r="I369" s="2" t="str">
        <f aca="false">CONCATENATE("http://www.wikidata.org/entity/",H369)</f>
        <v>http://www.wikidata.org/entity/Q9149093</v>
      </c>
      <c r="J369" s="3" t="s">
        <v>2587</v>
      </c>
      <c r="K369" s="2" t="str">
        <f aca="false">CONCATENATE("https://d-nb.info/gnd/",J369)</f>
        <v>https://d-nb.info/gnd/4005695-8</v>
      </c>
      <c r="L369" s="3" t="s">
        <v>2588</v>
      </c>
      <c r="M369" s="2" t="str">
        <f aca="false">CONCATENATE("https://d-nb.info/gnd/",L369)</f>
        <v>https://d-nb.info/gnd/4368388-5</v>
      </c>
      <c r="N369" s="3"/>
      <c r="P369" s="3" t="n">
        <v>300403985</v>
      </c>
      <c r="Q369" s="2" t="str">
        <f aca="false">CONCATENATE("https://vocab.getty.edu/aat/",P369)</f>
        <v>https://vocab.getty.edu/aat/300403985</v>
      </c>
      <c r="R369" s="2" t="s">
        <v>2589</v>
      </c>
      <c r="S369" s="2" t="s">
        <v>2590</v>
      </c>
      <c r="X369" s="2" t="n">
        <v>0</v>
      </c>
      <c r="Y369" s="2" t="n">
        <v>0</v>
      </c>
      <c r="AG369" s="4"/>
    </row>
    <row r="370" s="2" customFormat="true" ht="12.8" hidden="false" customHeight="false" outlineLevel="0" collapsed="false">
      <c r="A370" s="1" t="s">
        <v>2591</v>
      </c>
      <c r="B370" s="2" t="n">
        <v>357</v>
      </c>
      <c r="C370" s="2" t="n">
        <v>357</v>
      </c>
      <c r="D370" s="2" t="s">
        <v>2592</v>
      </c>
      <c r="E370" s="2" t="s">
        <v>2593</v>
      </c>
      <c r="F370" s="2" t="s">
        <v>2594</v>
      </c>
      <c r="H370" s="3" t="s">
        <v>2595</v>
      </c>
      <c r="I370" s="2" t="str">
        <f aca="false">CONCATENATE("http://www.wikidata.org/entity/",H370)</f>
        <v>http://www.wikidata.org/entity/Q11124885</v>
      </c>
      <c r="J370" s="3" t="s">
        <v>2596</v>
      </c>
      <c r="K370" s="2" t="str">
        <f aca="false">CONCATENATE("https://d-nb.info/gnd/",J370)</f>
        <v>https://d-nb.info/gnd/4395925-8</v>
      </c>
      <c r="L370" s="3" t="s">
        <v>2596</v>
      </c>
      <c r="M370" s="2" t="str">
        <f aca="false">CONCATENATE("https://d-nb.info/gnd/",L370)</f>
        <v>https://d-nb.info/gnd/4395925-8</v>
      </c>
      <c r="N370" s="3"/>
      <c r="P370" s="3"/>
      <c r="R370" s="2" t="s">
        <v>2597</v>
      </c>
      <c r="S370" s="2" t="s">
        <v>2598</v>
      </c>
      <c r="X370" s="2" t="n">
        <v>0</v>
      </c>
      <c r="Y370" s="2" t="n">
        <v>0</v>
      </c>
      <c r="AG370" s="4"/>
    </row>
    <row r="371" s="2" customFormat="true" ht="12.8" hidden="false" customHeight="false" outlineLevel="0" collapsed="false">
      <c r="A371" s="1" t="s">
        <v>2599</v>
      </c>
      <c r="B371" s="2" t="n">
        <v>358</v>
      </c>
      <c r="D371" s="2" t="s">
        <v>2600</v>
      </c>
      <c r="E371" s="2" t="s">
        <v>2601</v>
      </c>
      <c r="F371" s="2" t="s">
        <v>2602</v>
      </c>
      <c r="H371" s="3" t="s">
        <v>2603</v>
      </c>
      <c r="I371" s="2" t="str">
        <f aca="false">CONCATENATE("http://www.wikidata.org/entity/",H371)</f>
        <v>http://www.wikidata.org/entity/Q87709273</v>
      </c>
      <c r="J371" s="3" t="n">
        <v>1113562412</v>
      </c>
      <c r="K371" s="2" t="str">
        <f aca="false">CONCATENATE("https://d-nb.info/gnd/",J371)</f>
        <v>https://d-nb.info/gnd/1113562412</v>
      </c>
      <c r="L371" s="3" t="n">
        <v>1196978026</v>
      </c>
      <c r="M371" s="2" t="str">
        <f aca="false">CONCATENATE("https://d-nb.info/gnd/",L371)</f>
        <v>https://d-nb.info/gnd/1196978026</v>
      </c>
      <c r="N371" s="3"/>
      <c r="P371" s="3"/>
      <c r="R371" s="2" t="s">
        <v>2600</v>
      </c>
      <c r="S371" s="2" t="s">
        <v>2602</v>
      </c>
      <c r="X371" s="2" t="n">
        <v>0</v>
      </c>
      <c r="Y371" s="2" t="n">
        <v>0</v>
      </c>
      <c r="AG371" s="4"/>
    </row>
    <row r="372" s="2" customFormat="true" ht="12.8" hidden="false" customHeight="false" outlineLevel="0" collapsed="false">
      <c r="A372" s="1" t="s">
        <v>2604</v>
      </c>
      <c r="B372" s="2" t="n">
        <v>359</v>
      </c>
      <c r="D372" s="2" t="s">
        <v>2605</v>
      </c>
      <c r="E372" s="2" t="s">
        <v>2606</v>
      </c>
      <c r="F372" s="2" t="s">
        <v>2607</v>
      </c>
      <c r="H372" s="3" t="s">
        <v>2608</v>
      </c>
      <c r="I372" s="2" t="str">
        <f aca="false">CONCATENATE("http://www.wikidata.org/entity/",H372)</f>
        <v>http://www.wikidata.org/entity/Q2346491</v>
      </c>
      <c r="J372" s="3" t="s">
        <v>2609</v>
      </c>
      <c r="K372" s="2" t="str">
        <f aca="false">CONCATENATE("https://d-nb.info/gnd/",J372)</f>
        <v>https://d-nb.info/gnd/4183190-1</v>
      </c>
      <c r="L372" s="3" t="n">
        <v>1059226529</v>
      </c>
      <c r="M372" s="2" t="str">
        <f aca="false">CONCATENATE("https://d-nb.info/gnd/",L372)</f>
        <v>https://d-nb.info/gnd/1059226529</v>
      </c>
      <c r="N372" s="3"/>
      <c r="P372" s="3"/>
      <c r="R372" s="2" t="s">
        <v>2605</v>
      </c>
      <c r="S372" s="2" t="s">
        <v>2607</v>
      </c>
      <c r="X372" s="2" t="n">
        <v>0</v>
      </c>
      <c r="Y372" s="2" t="n">
        <v>0</v>
      </c>
      <c r="AG372" s="4"/>
    </row>
    <row r="373" s="2" customFormat="true" ht="12.8" hidden="false" customHeight="false" outlineLevel="0" collapsed="false">
      <c r="A373" s="1" t="s">
        <v>2610</v>
      </c>
      <c r="B373" s="2" t="n">
        <v>360</v>
      </c>
      <c r="C373" s="2" t="n">
        <v>244</v>
      </c>
      <c r="D373" s="2" t="s">
        <v>2611</v>
      </c>
      <c r="E373" s="2" t="s">
        <v>2612</v>
      </c>
      <c r="F373" s="2" t="s">
        <v>2613</v>
      </c>
      <c r="H373" s="3" t="s">
        <v>2614</v>
      </c>
      <c r="I373" s="2" t="str">
        <f aca="false">CONCATENATE("http://www.wikidata.org/entity/",H373)</f>
        <v>http://www.wikidata.org/entity/Q2399424</v>
      </c>
      <c r="J373" s="3" t="n">
        <v>1235161595</v>
      </c>
      <c r="K373" s="2" t="str">
        <f aca="false">CONCATENATE("https://d-nb.info/gnd/",J373)</f>
        <v>https://d-nb.info/gnd/1235161595</v>
      </c>
      <c r="L373" s="3"/>
      <c r="N373" s="3"/>
      <c r="P373" s="3"/>
      <c r="R373" s="2" t="s">
        <v>2615</v>
      </c>
      <c r="S373" s="2" t="s">
        <v>2616</v>
      </c>
      <c r="X373" s="2" t="n">
        <v>0</v>
      </c>
      <c r="Y373" s="2" t="n">
        <v>0</v>
      </c>
      <c r="AG373" s="4"/>
    </row>
    <row r="374" s="2" customFormat="true" ht="12.8" hidden="false" customHeight="false" outlineLevel="0" collapsed="false">
      <c r="A374" s="1" t="s">
        <v>2617</v>
      </c>
      <c r="B374" s="2" t="n">
        <v>361</v>
      </c>
      <c r="C374" s="2" t="n">
        <v>244</v>
      </c>
      <c r="D374" s="2" t="s">
        <v>2618</v>
      </c>
      <c r="E374" s="2" t="s">
        <v>2619</v>
      </c>
      <c r="F374" s="2" t="s">
        <v>2620</v>
      </c>
      <c r="H374" s="3" t="s">
        <v>2621</v>
      </c>
      <c r="I374" s="2" t="str">
        <f aca="false">CONCATENATE("http://www.wikidata.org/entity/",H374)</f>
        <v>http://www.wikidata.org/entity/Q2442329</v>
      </c>
      <c r="J374" s="3" t="s">
        <v>2622</v>
      </c>
      <c r="K374" s="2" t="str">
        <f aca="false">CONCATENATE("https://d-nb.info/gnd/",J374)</f>
        <v>https://d-nb.info/gnd/7639004-4</v>
      </c>
      <c r="L374" s="3" t="s">
        <v>2623</v>
      </c>
      <c r="M374" s="2" t="str">
        <f aca="false">CONCATENATE("https://d-nb.info/gnd/",L374)</f>
        <v>https://d-nb.info/gnd/7655984-1</v>
      </c>
      <c r="N374" s="3"/>
      <c r="P374" s="3"/>
      <c r="R374" s="2" t="s">
        <v>2624</v>
      </c>
      <c r="S374" s="2" t="s">
        <v>2625</v>
      </c>
      <c r="X374" s="2" t="n">
        <v>0</v>
      </c>
      <c r="Y374" s="2" t="n">
        <v>0</v>
      </c>
      <c r="AG374" s="4"/>
    </row>
    <row r="375" s="2" customFormat="true" ht="12.8" hidden="false" customHeight="false" outlineLevel="0" collapsed="false">
      <c r="A375" s="1" t="s">
        <v>2626</v>
      </c>
      <c r="B375" s="2" t="n">
        <v>362</v>
      </c>
      <c r="C375" s="2" t="n">
        <v>244</v>
      </c>
      <c r="D375" s="2" t="s">
        <v>2627</v>
      </c>
      <c r="E375" s="2" t="s">
        <v>2628</v>
      </c>
      <c r="F375" s="2" t="s">
        <v>2629</v>
      </c>
      <c r="H375" s="3" t="s">
        <v>2630</v>
      </c>
      <c r="I375" s="2" t="str">
        <f aca="false">CONCATENATE("http://www.wikidata.org/entity/",H375)</f>
        <v>http://www.wikidata.org/entity/Q1391386</v>
      </c>
      <c r="J375" s="3"/>
      <c r="L375" s="3"/>
      <c r="N375" s="3"/>
      <c r="P375" s="3"/>
      <c r="R375" s="2" t="s">
        <v>2631</v>
      </c>
      <c r="S375" s="2" t="s">
        <v>2632</v>
      </c>
      <c r="X375" s="2" t="n">
        <v>0</v>
      </c>
      <c r="Y375" s="2" t="n">
        <v>0</v>
      </c>
      <c r="AG375" s="4"/>
    </row>
    <row r="376" s="2" customFormat="true" ht="12.8" hidden="false" customHeight="false" outlineLevel="0" collapsed="false">
      <c r="A376" s="1" t="s">
        <v>2633</v>
      </c>
      <c r="B376" s="2" t="n">
        <v>363</v>
      </c>
      <c r="D376" s="2" t="s">
        <v>2634</v>
      </c>
      <c r="E376" s="2" t="s">
        <v>2635</v>
      </c>
      <c r="F376" s="2" t="s">
        <v>2636</v>
      </c>
      <c r="G376" s="2" t="s">
        <v>2637</v>
      </c>
      <c r="H376" s="3" t="s">
        <v>2638</v>
      </c>
      <c r="I376" s="2" t="str">
        <f aca="false">CONCATENATE("http://www.wikidata.org/entity/",H376)</f>
        <v>http://www.wikidata.org/entity/Q47492700</v>
      </c>
      <c r="J376" s="3"/>
      <c r="L376" s="3"/>
      <c r="N376" s="3"/>
      <c r="P376" s="3"/>
      <c r="R376" s="2" t="s">
        <v>2634</v>
      </c>
      <c r="S376" s="2" t="s">
        <v>2636</v>
      </c>
      <c r="X376" s="2" t="n">
        <v>0</v>
      </c>
      <c r="Y376" s="2" t="n">
        <v>1</v>
      </c>
      <c r="AG376" s="4"/>
    </row>
    <row r="377" s="2" customFormat="true" ht="12.8" hidden="false" customHeight="false" outlineLevel="0" collapsed="false">
      <c r="A377" s="1" t="s">
        <v>2639</v>
      </c>
      <c r="B377" s="2" t="n">
        <v>364</v>
      </c>
      <c r="C377" s="2" t="n">
        <v>363</v>
      </c>
      <c r="D377" s="2" t="s">
        <v>2640</v>
      </c>
      <c r="E377" s="2" t="s">
        <v>2641</v>
      </c>
      <c r="F377" s="2" t="s">
        <v>2642</v>
      </c>
      <c r="H377" s="3" t="s">
        <v>2643</v>
      </c>
      <c r="I377" s="2" t="str">
        <f aca="false">CONCATENATE("http://www.wikidata.org/entity/",H377)</f>
        <v>http://www.wikidata.org/entity/Q64825422</v>
      </c>
      <c r="J377" s="3" t="n">
        <v>1057865168</v>
      </c>
      <c r="K377" s="2" t="str">
        <f aca="false">CONCATENATE("https://d-nb.info/gnd/",J377)</f>
        <v>https://d-nb.info/gnd/1057865168</v>
      </c>
      <c r="L377" s="3" t="n">
        <v>1057865222</v>
      </c>
      <c r="M377" s="2" t="str">
        <f aca="false">CONCATENATE("https://d-nb.info/gnd/",L377)</f>
        <v>https://d-nb.info/gnd/1057865222</v>
      </c>
      <c r="N377" s="3"/>
      <c r="P377" s="3"/>
      <c r="R377" s="2" t="s">
        <v>2644</v>
      </c>
      <c r="S377" s="2" t="s">
        <v>2645</v>
      </c>
      <c r="X377" s="2" t="n">
        <v>0</v>
      </c>
      <c r="Y377" s="2" t="n">
        <v>0</v>
      </c>
      <c r="AG377" s="4"/>
    </row>
    <row r="378" s="2" customFormat="true" ht="12.8" hidden="false" customHeight="false" outlineLevel="0" collapsed="false">
      <c r="A378" s="1" t="s">
        <v>2646</v>
      </c>
      <c r="B378" s="2" t="n">
        <v>365</v>
      </c>
      <c r="D378" s="2" t="s">
        <v>2647</v>
      </c>
      <c r="E378" s="2" t="s">
        <v>2648</v>
      </c>
      <c r="F378" s="2" t="s">
        <v>2649</v>
      </c>
      <c r="H378" s="3" t="s">
        <v>2650</v>
      </c>
      <c r="I378" s="2" t="str">
        <f aca="false">CONCATENATE("http://www.wikidata.org/entity/",H378)</f>
        <v>http://www.wikidata.org/entity/Q10379007</v>
      </c>
      <c r="J378" s="3" t="s">
        <v>2651</v>
      </c>
      <c r="K378" s="2" t="str">
        <f aca="false">CONCATENATE("https://d-nb.info/gnd/",J378)</f>
        <v>https://d-nb.info/gnd/4614675-1</v>
      </c>
      <c r="L378" s="3" t="s">
        <v>2652</v>
      </c>
      <c r="M378" s="2" t="str">
        <f aca="false">CONCATENATE("https://d-nb.info/gnd/",L378)</f>
        <v>https://d-nb.info/gnd/4778053-8</v>
      </c>
      <c r="N378" s="3"/>
      <c r="P378" s="3"/>
      <c r="R378" s="2" t="s">
        <v>2647</v>
      </c>
      <c r="S378" s="2" t="s">
        <v>2649</v>
      </c>
      <c r="X378" s="2" t="n">
        <v>0</v>
      </c>
      <c r="Y378" s="2" t="n">
        <v>0</v>
      </c>
      <c r="AG378" s="4"/>
    </row>
    <row r="379" s="2" customFormat="true" ht="12.8" hidden="false" customHeight="false" outlineLevel="0" collapsed="false">
      <c r="A379" s="1" t="s">
        <v>2653</v>
      </c>
      <c r="B379" s="2" t="n">
        <v>366</v>
      </c>
      <c r="D379" s="2" t="s">
        <v>2654</v>
      </c>
      <c r="E379" s="2" t="s">
        <v>2655</v>
      </c>
      <c r="F379" s="2" t="s">
        <v>2656</v>
      </c>
      <c r="H379" s="3" t="s">
        <v>2657</v>
      </c>
      <c r="I379" s="2" t="str">
        <f aca="false">CONCATENATE("http://www.wikidata.org/entity/",H379)</f>
        <v>http://www.wikidata.org/entity/Q1234713</v>
      </c>
      <c r="J379" s="3" t="s">
        <v>2658</v>
      </c>
      <c r="K379" s="2" t="str">
        <f aca="false">CONCATENATE("https://d-nb.info/gnd/",J379)</f>
        <v>https://d-nb.info/gnd/4059756-8</v>
      </c>
      <c r="L379" s="3" t="s">
        <v>2659</v>
      </c>
      <c r="M379" s="2" t="str">
        <f aca="false">CONCATENATE("https://d-nb.info/gnd/",L379)</f>
        <v>https://d-nb.info/gnd/4138249-3</v>
      </c>
      <c r="N379" s="3"/>
      <c r="P379" s="3" t="n">
        <v>300025784</v>
      </c>
      <c r="Q379" s="2" t="str">
        <f aca="false">CONCATENATE("https://vocab.getty.edu/aat/",P379)</f>
        <v>https://vocab.getty.edu/aat/300025784</v>
      </c>
      <c r="R379" s="2" t="s">
        <v>2654</v>
      </c>
      <c r="S379" s="2" t="s">
        <v>2656</v>
      </c>
      <c r="X379" s="2" t="n">
        <v>0</v>
      </c>
      <c r="Y379" s="2" t="n">
        <v>0</v>
      </c>
      <c r="AG379" s="4"/>
    </row>
    <row r="380" s="2" customFormat="true" ht="12.8" hidden="false" customHeight="false" outlineLevel="0" collapsed="false">
      <c r="A380" s="1" t="s">
        <v>2660</v>
      </c>
      <c r="B380" s="2" t="n">
        <v>367</v>
      </c>
      <c r="D380" s="2" t="s">
        <v>2661</v>
      </c>
      <c r="E380" s="2" t="s">
        <v>2662</v>
      </c>
      <c r="F380" s="2" t="s">
        <v>2663</v>
      </c>
      <c r="H380" s="3" t="s">
        <v>2664</v>
      </c>
      <c r="I380" s="2" t="str">
        <f aca="false">CONCATENATE("http://www.wikidata.org/entity/",H380)</f>
        <v>http://www.wikidata.org/entity/Q154549</v>
      </c>
      <c r="J380" s="3" t="s">
        <v>2665</v>
      </c>
      <c r="K380" s="2" t="str">
        <f aca="false">CONCATENATE("https://d-nb.info/gnd/",J380)</f>
        <v>https://d-nb.info/gnd/4125471-5</v>
      </c>
      <c r="L380" s="3" t="s">
        <v>2666</v>
      </c>
      <c r="M380" s="2" t="str">
        <f aca="false">CONCATENATE("https://d-nb.info/gnd/",L380)</f>
        <v>https://d-nb.info/gnd/4288284-9</v>
      </c>
      <c r="N380" s="3"/>
      <c r="P380" s="3" t="n">
        <v>300025008</v>
      </c>
      <c r="Q380" s="2" t="str">
        <f aca="false">CONCATENATE("https://vocab.getty.edu/aat/",P380)</f>
        <v>https://vocab.getty.edu/aat/300025008</v>
      </c>
      <c r="R380" s="2" t="s">
        <v>2661</v>
      </c>
      <c r="S380" s="2" t="s">
        <v>2663</v>
      </c>
      <c r="X380" s="2" t="n">
        <v>0</v>
      </c>
      <c r="Y380" s="2" t="n">
        <v>0</v>
      </c>
      <c r="AG380" s="4"/>
    </row>
    <row r="381" s="2" customFormat="true" ht="12.8" hidden="false" customHeight="false" outlineLevel="0" collapsed="false">
      <c r="A381" s="1" t="s">
        <v>2667</v>
      </c>
      <c r="B381" s="2" t="n">
        <v>368</v>
      </c>
      <c r="D381" s="2" t="s">
        <v>2668</v>
      </c>
      <c r="F381" s="2" t="s">
        <v>2669</v>
      </c>
      <c r="G381" s="2" t="s">
        <v>2670</v>
      </c>
      <c r="H381" s="3" t="s">
        <v>2671</v>
      </c>
      <c r="I381" s="2" t="str">
        <f aca="false">CONCATENATE("http://www.wikidata.org/entity/",H381)</f>
        <v>http://www.wikidata.org/entity/Q373709</v>
      </c>
      <c r="J381" s="3"/>
      <c r="L381" s="3"/>
      <c r="N381" s="3"/>
      <c r="P381" s="3"/>
      <c r="R381" s="2" t="s">
        <v>2668</v>
      </c>
      <c r="S381" s="2" t="s">
        <v>2669</v>
      </c>
      <c r="X381" s="2" t="n">
        <v>0</v>
      </c>
      <c r="Y381" s="2" t="n">
        <v>0</v>
      </c>
      <c r="AG381" s="4"/>
    </row>
    <row r="382" s="2" customFormat="true" ht="12.8" hidden="false" customHeight="false" outlineLevel="0" collapsed="false">
      <c r="A382" s="1" t="s">
        <v>2672</v>
      </c>
      <c r="B382" s="2" t="n">
        <v>369</v>
      </c>
      <c r="D382" s="2" t="s">
        <v>2673</v>
      </c>
      <c r="F382" s="2" t="s">
        <v>2674</v>
      </c>
      <c r="H382" s="3" t="s">
        <v>2675</v>
      </c>
      <c r="I382" s="2" t="str">
        <f aca="false">CONCATENATE("http://www.wikidata.org/entity/",H382)</f>
        <v>http://www.wikidata.org/entity/Q16764901</v>
      </c>
      <c r="J382" s="3" t="s">
        <v>2676</v>
      </c>
      <c r="K382" s="2" t="str">
        <f aca="false">CONCATENATE("https://d-nb.info/gnd/",J382)</f>
        <v>https://d-nb.info/gnd/4185968-6</v>
      </c>
      <c r="L382" s="3" t="s">
        <v>2676</v>
      </c>
      <c r="M382" s="2" t="str">
        <f aca="false">CONCATENATE("https://d-nb.info/gnd/",L382)</f>
        <v>https://d-nb.info/gnd/4185968-6</v>
      </c>
      <c r="N382" s="3"/>
      <c r="P382" s="3"/>
      <c r="R382" s="2" t="s">
        <v>2673</v>
      </c>
      <c r="S382" s="2" t="s">
        <v>2674</v>
      </c>
      <c r="X382" s="2" t="n">
        <v>0</v>
      </c>
      <c r="Y382" s="2" t="n">
        <v>0</v>
      </c>
      <c r="AG382" s="4"/>
    </row>
    <row r="383" s="2" customFormat="true" ht="12.8" hidden="false" customHeight="false" outlineLevel="0" collapsed="false">
      <c r="A383" s="1" t="s">
        <v>2677</v>
      </c>
      <c r="B383" s="2" t="n">
        <v>370</v>
      </c>
      <c r="C383" s="2" t="n">
        <v>369</v>
      </c>
      <c r="D383" s="2" t="s">
        <v>2678</v>
      </c>
      <c r="F383" s="2" t="s">
        <v>2679</v>
      </c>
      <c r="H383" s="3" t="s">
        <v>2680</v>
      </c>
      <c r="I383" s="2" t="str">
        <f aca="false">CONCATENATE("http://www.wikidata.org/entity/",H383)</f>
        <v>http://www.wikidata.org/entity/Q337084</v>
      </c>
      <c r="J383" s="3" t="n">
        <v>1036714667</v>
      </c>
      <c r="K383" s="2" t="str">
        <f aca="false">CONCATENATE("https://d-nb.info/gnd/",J383)</f>
        <v>https://d-nb.info/gnd/1036714667</v>
      </c>
      <c r="L383" s="3" t="n">
        <v>1036714667</v>
      </c>
      <c r="M383" s="2" t="str">
        <f aca="false">CONCATENATE("https://d-nb.info/gnd/",L383)</f>
        <v>https://d-nb.info/gnd/1036714667</v>
      </c>
      <c r="N383" s="3"/>
      <c r="P383" s="3"/>
      <c r="R383" s="2" t="s">
        <v>2681</v>
      </c>
      <c r="S383" s="2" t="s">
        <v>2682</v>
      </c>
      <c r="X383" s="2" t="n">
        <v>0</v>
      </c>
      <c r="Y383" s="2" t="n">
        <v>0</v>
      </c>
      <c r="AG383" s="4"/>
    </row>
    <row r="384" s="2" customFormat="true" ht="12.8" hidden="false" customHeight="false" outlineLevel="0" collapsed="false">
      <c r="A384" s="1" t="s">
        <v>2683</v>
      </c>
      <c r="B384" s="2" t="n">
        <v>371</v>
      </c>
      <c r="D384" s="2" t="s">
        <v>2684</v>
      </c>
      <c r="E384" s="2" t="s">
        <v>2685</v>
      </c>
      <c r="F384" s="2" t="s">
        <v>2686</v>
      </c>
      <c r="H384" s="3" t="s">
        <v>2687</v>
      </c>
      <c r="I384" s="2" t="str">
        <f aca="false">CONCATENATE("http://www.wikidata.org/entity/",H384)</f>
        <v>http://www.wikidata.org/entity/Q105906860</v>
      </c>
      <c r="J384" s="3"/>
      <c r="L384" s="3"/>
      <c r="N384" s="3"/>
      <c r="P384" s="3"/>
      <c r="R384" s="2" t="s">
        <v>2684</v>
      </c>
      <c r="S384" s="2" t="s">
        <v>2686</v>
      </c>
      <c r="X384" s="2" t="n">
        <v>0</v>
      </c>
      <c r="Y384" s="2" t="n">
        <v>0</v>
      </c>
      <c r="AG384" s="4"/>
    </row>
    <row r="385" s="2" customFormat="true" ht="12.8" hidden="false" customHeight="false" outlineLevel="0" collapsed="false">
      <c r="A385" s="1" t="s">
        <v>2688</v>
      </c>
      <c r="B385" s="2" t="n">
        <v>372</v>
      </c>
      <c r="D385" s="2" t="s">
        <v>2689</v>
      </c>
      <c r="E385" s="2" t="s">
        <v>2690</v>
      </c>
      <c r="F385" s="2" t="s">
        <v>2691</v>
      </c>
      <c r="H385" s="3" t="s">
        <v>2692</v>
      </c>
      <c r="I385" s="2" t="str">
        <f aca="false">CONCATENATE("http://www.wikidata.org/entity/",H385)</f>
        <v>http://www.wikidata.org/entity/Q21653400</v>
      </c>
      <c r="J385" s="3" t="s">
        <v>2693</v>
      </c>
      <c r="K385" s="2" t="str">
        <f aca="false">CONCATENATE("https://d-nb.info/gnd/",J385)</f>
        <v>https://d-nb.info/gnd/4735464-1</v>
      </c>
      <c r="L385" s="3" t="s">
        <v>2694</v>
      </c>
      <c r="M385" s="2" t="str">
        <f aca="false">CONCATENATE("https://d-nb.info/gnd/",L385)</f>
        <v>https://d-nb.info/gnd/4735465-3</v>
      </c>
      <c r="N385" s="3"/>
      <c r="P385" s="3"/>
      <c r="R385" s="2" t="s">
        <v>2689</v>
      </c>
      <c r="S385" s="2" t="s">
        <v>2691</v>
      </c>
      <c r="X385" s="2" t="n">
        <v>0</v>
      </c>
      <c r="Y385" s="2" t="n">
        <v>0</v>
      </c>
      <c r="AG385" s="4"/>
    </row>
    <row r="386" s="2" customFormat="true" ht="12.8" hidden="false" customHeight="false" outlineLevel="0" collapsed="false">
      <c r="A386" s="1" t="s">
        <v>2695</v>
      </c>
      <c r="B386" s="2" t="n">
        <v>373</v>
      </c>
      <c r="D386" s="2" t="s">
        <v>2696</v>
      </c>
      <c r="E386" s="2" t="s">
        <v>2697</v>
      </c>
      <c r="F386" s="2" t="s">
        <v>2698</v>
      </c>
      <c r="H386" s="3" t="s">
        <v>2699</v>
      </c>
      <c r="I386" s="2" t="str">
        <f aca="false">CONCATENATE("http://www.wikidata.org/entity/",H386)</f>
        <v>http://www.wikidata.org/entity/Q140686</v>
      </c>
      <c r="J386" s="3" t="s">
        <v>2700</v>
      </c>
      <c r="K386" s="2" t="str">
        <f aca="false">CONCATENATE("https://d-nb.info/gnd/",J386)</f>
        <v>https://d-nb.info/gnd/4188716-5</v>
      </c>
      <c r="L386" s="3"/>
      <c r="N386" s="3"/>
      <c r="P386" s="3" t="n">
        <v>300386266</v>
      </c>
      <c r="Q386" s="2" t="str">
        <f aca="false">CONCATENATE("https://vocab.getty.edu/aat/",P386)</f>
        <v>https://vocab.getty.edu/aat/300386266</v>
      </c>
      <c r="R386" s="2" t="s">
        <v>2696</v>
      </c>
      <c r="S386" s="2" t="s">
        <v>2698</v>
      </c>
      <c r="X386" s="2" t="n">
        <v>0</v>
      </c>
      <c r="Y386" s="2" t="n">
        <v>0</v>
      </c>
      <c r="AG386" s="4"/>
    </row>
    <row r="387" s="2" customFormat="true" ht="12.8" hidden="false" customHeight="false" outlineLevel="0" collapsed="false">
      <c r="A387" s="1" t="s">
        <v>2701</v>
      </c>
      <c r="B387" s="2" t="n">
        <v>374</v>
      </c>
      <c r="D387" s="2" t="s">
        <v>2702</v>
      </c>
      <c r="E387" s="2" t="s">
        <v>2703</v>
      </c>
      <c r="F387" s="2" t="s">
        <v>2704</v>
      </c>
      <c r="H387" s="3" t="s">
        <v>2705</v>
      </c>
      <c r="I387" s="2" t="str">
        <f aca="false">CONCATENATE("http://www.wikidata.org/entity/",H387)</f>
        <v>http://www.wikidata.org/entity/Q83437238</v>
      </c>
      <c r="J387" s="3"/>
      <c r="L387" s="3"/>
      <c r="N387" s="3"/>
      <c r="P387" s="3"/>
      <c r="R387" s="2" t="s">
        <v>2702</v>
      </c>
      <c r="S387" s="2" t="s">
        <v>2704</v>
      </c>
      <c r="X387" s="2" t="n">
        <v>0</v>
      </c>
      <c r="Y387" s="2" t="n">
        <v>0</v>
      </c>
      <c r="AG387" s="4"/>
    </row>
    <row r="388" s="2" customFormat="true" ht="12.8" hidden="false" customHeight="false" outlineLevel="0" collapsed="false">
      <c r="A388" s="1" t="s">
        <v>2706</v>
      </c>
      <c r="B388" s="2" t="n">
        <v>375</v>
      </c>
      <c r="D388" s="2" t="s">
        <v>2707</v>
      </c>
      <c r="E388" s="2" t="s">
        <v>2708</v>
      </c>
      <c r="F388" s="2" t="s">
        <v>2709</v>
      </c>
      <c r="H388" s="3" t="s">
        <v>2710</v>
      </c>
      <c r="I388" s="2" t="str">
        <f aca="false">CONCATENATE("http://www.wikidata.org/entity/",H388)</f>
        <v>http://www.wikidata.org/entity/Q188094</v>
      </c>
      <c r="J388" s="3" t="s">
        <v>2711</v>
      </c>
      <c r="K388" s="2" t="str">
        <f aca="false">CONCATENATE("https://d-nb.info/gnd/",J388)</f>
        <v>https://d-nb.info/gnd/4066533-1</v>
      </c>
      <c r="L388" s="3" t="s">
        <v>2712</v>
      </c>
      <c r="M388" s="2" t="str">
        <f aca="false">CONCATENATE("https://d-nb.info/gnd/",L388)</f>
        <v>https://d-nb.info/gnd/4270482-0</v>
      </c>
      <c r="N388" s="3"/>
      <c r="P388" s="3" t="n">
        <v>300025591</v>
      </c>
      <c r="Q388" s="2" t="str">
        <f aca="false">CONCATENATE("https://vocab.getty.edu/aat/",P388)</f>
        <v>https://vocab.getty.edu/aat/300025591</v>
      </c>
      <c r="R388" s="2" t="s">
        <v>2707</v>
      </c>
      <c r="S388" s="2" t="s">
        <v>2709</v>
      </c>
      <c r="X388" s="2" t="n">
        <v>0</v>
      </c>
      <c r="Y388" s="2" t="n">
        <v>0</v>
      </c>
      <c r="AG388" s="4"/>
    </row>
    <row r="389" s="2" customFormat="true" ht="12.8" hidden="false" customHeight="false" outlineLevel="0" collapsed="false">
      <c r="A389" s="1" t="s">
        <v>2713</v>
      </c>
      <c r="B389" s="2" t="n">
        <v>376</v>
      </c>
      <c r="D389" s="2" t="s">
        <v>2714</v>
      </c>
      <c r="E389" s="2" t="s">
        <v>2715</v>
      </c>
      <c r="F389" s="2" t="s">
        <v>2716</v>
      </c>
      <c r="H389" s="3" t="s">
        <v>2717</v>
      </c>
      <c r="I389" s="2" t="str">
        <f aca="false">CONCATENATE("http://www.wikidata.org/entity/",H389)</f>
        <v>http://www.wikidata.org/entity/Q2600526</v>
      </c>
      <c r="J389" s="3" t="s">
        <v>2718</v>
      </c>
      <c r="K389" s="2" t="str">
        <f aca="false">CONCATENATE("https://d-nb.info/gnd/",J389)</f>
        <v>https://d-nb.info/gnd/4190423-0</v>
      </c>
      <c r="L389" s="3" t="s">
        <v>2719</v>
      </c>
      <c r="M389" s="2" t="str">
        <f aca="false">CONCATENATE("https://d-nb.info/gnd/",L389)</f>
        <v>https://d-nb.info/gnd/7627790-2</v>
      </c>
      <c r="N389" s="3"/>
      <c r="P389" s="3"/>
      <c r="R389" s="2" t="s">
        <v>2714</v>
      </c>
      <c r="S389" s="2" t="s">
        <v>2716</v>
      </c>
      <c r="X389" s="2" t="n">
        <v>0</v>
      </c>
      <c r="Y389" s="2" t="n">
        <v>0</v>
      </c>
      <c r="AG389" s="4"/>
    </row>
    <row r="390" s="2" customFormat="true" ht="12.8" hidden="false" customHeight="false" outlineLevel="0" collapsed="false">
      <c r="A390" s="1" t="s">
        <v>2720</v>
      </c>
      <c r="B390" s="2" t="n">
        <v>377</v>
      </c>
      <c r="D390" s="2" t="s">
        <v>2721</v>
      </c>
      <c r="E390" s="2" t="s">
        <v>2722</v>
      </c>
      <c r="F390" s="2" t="s">
        <v>2723</v>
      </c>
      <c r="H390" s="3" t="s">
        <v>2724</v>
      </c>
      <c r="I390" s="2" t="str">
        <f aca="false">CONCATENATE("http://www.wikidata.org/entity/",H390)</f>
        <v>http://www.wikidata.org/entity/Q350979</v>
      </c>
      <c r="J390" s="3" t="s">
        <v>2725</v>
      </c>
      <c r="K390" s="2" t="str">
        <f aca="false">CONCATENATE("https://d-nb.info/gnd/",J390)</f>
        <v>https://d-nb.info/gnd/4398977-9</v>
      </c>
      <c r="L390" s="3" t="s">
        <v>2726</v>
      </c>
      <c r="M390" s="2" t="str">
        <f aca="false">CONCATENATE("https://d-nb.info/gnd/",L390)</f>
        <v>https://d-nb.info/gnd/7537890-5</v>
      </c>
      <c r="N390" s="3"/>
      <c r="P390" s="3" t="n">
        <v>300025792</v>
      </c>
      <c r="Q390" s="2" t="str">
        <f aca="false">CONCATENATE("https://vocab.getty.edu/aat/",P390)</f>
        <v>https://vocab.getty.edu/aat/300025792</v>
      </c>
      <c r="R390" s="2" t="s">
        <v>2721</v>
      </c>
      <c r="S390" s="2" t="s">
        <v>2723</v>
      </c>
      <c r="X390" s="2" t="n">
        <v>0</v>
      </c>
      <c r="Y390" s="2" t="n">
        <v>0</v>
      </c>
      <c r="AG390" s="4"/>
    </row>
    <row r="391" s="2" customFormat="true" ht="12.8" hidden="false" customHeight="false" outlineLevel="0" collapsed="false">
      <c r="A391" s="1" t="s">
        <v>2727</v>
      </c>
      <c r="B391" s="2" t="n">
        <v>378</v>
      </c>
      <c r="D391" s="2" t="s">
        <v>2728</v>
      </c>
      <c r="E391" s="2" t="s">
        <v>2729</v>
      </c>
      <c r="F391" s="2" t="s">
        <v>2730</v>
      </c>
      <c r="H391" s="3" t="s">
        <v>2731</v>
      </c>
      <c r="I391" s="2" t="str">
        <f aca="false">CONCATENATE("http://www.wikidata.org/entity/",H391)</f>
        <v>http://www.wikidata.org/entity/Q42973</v>
      </c>
      <c r="J391" s="3" t="s">
        <v>2732</v>
      </c>
      <c r="K391" s="2" t="str">
        <f aca="false">CONCATENATE("https://d-nb.info/gnd/",J391)</f>
        <v>https://d-nb.info/gnd/4002844-6</v>
      </c>
      <c r="L391" s="3" t="s">
        <v>2733</v>
      </c>
      <c r="M391" s="2" t="str">
        <f aca="false">CONCATENATE("https://d-nb.info/gnd/",L391)</f>
        <v>https://d-nb.info/gnd/4131695-2</v>
      </c>
      <c r="N391" s="3"/>
      <c r="P391" s="3" t="n">
        <v>300024987</v>
      </c>
      <c r="Q391" s="2" t="str">
        <f aca="false">CONCATENATE("https://vocab.getty.edu/aat/",P391)</f>
        <v>https://vocab.getty.edu/aat/300024987</v>
      </c>
      <c r="R391" s="2" t="s">
        <v>2728</v>
      </c>
      <c r="S391" s="2" t="s">
        <v>2730</v>
      </c>
      <c r="X391" s="2" t="n">
        <v>1</v>
      </c>
      <c r="Y391" s="2" t="n">
        <v>0</v>
      </c>
      <c r="AG391" s="4"/>
    </row>
    <row r="392" s="2" customFormat="true" ht="12.8" hidden="false" customHeight="false" outlineLevel="0" collapsed="false">
      <c r="A392" s="1" t="s">
        <v>2734</v>
      </c>
      <c r="B392" s="2" t="n">
        <v>379</v>
      </c>
      <c r="D392" s="2" t="s">
        <v>2735</v>
      </c>
      <c r="E392" s="2" t="s">
        <v>2736</v>
      </c>
      <c r="F392" s="2" t="s">
        <v>2737</v>
      </c>
      <c r="H392" s="3" t="s">
        <v>2738</v>
      </c>
      <c r="I392" s="2" t="str">
        <f aca="false">CONCATENATE("http://www.wikidata.org/entity/",H392)</f>
        <v>http://www.wikidata.org/entity/Q113057030</v>
      </c>
      <c r="J392" s="3"/>
      <c r="L392" s="3"/>
      <c r="N392" s="3"/>
      <c r="P392" s="3"/>
      <c r="R392" s="2" t="s">
        <v>2735</v>
      </c>
      <c r="S392" s="2" t="s">
        <v>2737</v>
      </c>
      <c r="X392" s="2" t="n">
        <v>0</v>
      </c>
      <c r="Y392" s="2" t="n">
        <v>0</v>
      </c>
      <c r="AG392" s="4"/>
    </row>
    <row r="393" s="2" customFormat="true" ht="12.8" hidden="false" customHeight="false" outlineLevel="0" collapsed="false">
      <c r="A393" s="1" t="s">
        <v>2739</v>
      </c>
      <c r="B393" s="2" t="n">
        <v>380</v>
      </c>
      <c r="D393" s="2" t="s">
        <v>2740</v>
      </c>
      <c r="F393" s="2" t="s">
        <v>2741</v>
      </c>
      <c r="H393" s="3" t="s">
        <v>2742</v>
      </c>
      <c r="I393" s="2" t="str">
        <f aca="false">CONCATENATE("http://www.wikidata.org/entity/",H393)</f>
        <v>http://www.wikidata.org/entity/Q380962</v>
      </c>
      <c r="J393" s="3"/>
      <c r="L393" s="3"/>
      <c r="N393" s="3"/>
      <c r="P393" s="3" t="n">
        <v>300379396</v>
      </c>
      <c r="Q393" s="2" t="str">
        <f aca="false">CONCATENATE("https://vocab.getty.edu/aat/",P393)</f>
        <v>https://vocab.getty.edu/aat/300379396</v>
      </c>
      <c r="R393" s="2" t="s">
        <v>2740</v>
      </c>
      <c r="S393" s="2" t="s">
        <v>2741</v>
      </c>
      <c r="X393" s="2" t="n">
        <v>0</v>
      </c>
      <c r="Y393" s="2" t="n">
        <v>0</v>
      </c>
      <c r="AG393" s="4"/>
    </row>
    <row r="394" s="2" customFormat="true" ht="12.8" hidden="false" customHeight="false" outlineLevel="0" collapsed="false">
      <c r="A394" s="1" t="s">
        <v>2743</v>
      </c>
      <c r="B394" s="2" t="n">
        <v>381</v>
      </c>
      <c r="D394" s="2" t="s">
        <v>2744</v>
      </c>
      <c r="E394" s="2" t="s">
        <v>2745</v>
      </c>
      <c r="F394" s="2" t="s">
        <v>2746</v>
      </c>
      <c r="H394" s="3" t="s">
        <v>2747</v>
      </c>
      <c r="I394" s="2" t="str">
        <f aca="false">CONCATENATE("http://www.wikidata.org/entity/",H394)</f>
        <v>http://www.wikidata.org/entity/Q1706722</v>
      </c>
      <c r="J394" s="3" t="s">
        <v>2748</v>
      </c>
      <c r="K394" s="2" t="str">
        <f aca="false">CONCATENATE("https://d-nb.info/gnd/",J394)</f>
        <v>https://d-nb.info/gnd/4066591-4</v>
      </c>
      <c r="L394" s="3" t="s">
        <v>2749</v>
      </c>
      <c r="M394" s="2" t="str">
        <f aca="false">CONCATENATE("https://d-nb.info/gnd/",L394)</f>
        <v>https://d-nb.info/gnd/7547571-6</v>
      </c>
      <c r="N394" s="3"/>
      <c r="P394" s="3"/>
      <c r="R394" s="2" t="s">
        <v>2744</v>
      </c>
      <c r="S394" s="2" t="s">
        <v>2746</v>
      </c>
      <c r="X394" s="2" t="n">
        <v>0</v>
      </c>
      <c r="Y394" s="2" t="n">
        <v>0</v>
      </c>
      <c r="AG394" s="4"/>
    </row>
    <row r="395" s="2" customFormat="true" ht="12.8" hidden="false" customHeight="false" outlineLevel="0" collapsed="false">
      <c r="A395" s="1" t="s">
        <v>2750</v>
      </c>
      <c r="B395" s="2" t="n">
        <v>382</v>
      </c>
      <c r="D395" s="2" t="s">
        <v>2751</v>
      </c>
      <c r="E395" s="2" t="s">
        <v>2752</v>
      </c>
      <c r="F395" s="2" t="s">
        <v>2753</v>
      </c>
      <c r="H395" s="3" t="s">
        <v>2754</v>
      </c>
      <c r="I395" s="2" t="str">
        <f aca="false">CONCATENATE("http://www.wikidata.org/entity/",H395)</f>
        <v>http://www.wikidata.org/entity/Q816432</v>
      </c>
      <c r="J395" s="3" t="s">
        <v>2755</v>
      </c>
      <c r="K395" s="2" t="str">
        <f aca="false">CONCATENATE("https://d-nb.info/gnd/",J395)</f>
        <v>https://d-nb.info/gnd/4175898-5</v>
      </c>
      <c r="L395" s="3" t="n">
        <v>1123581576</v>
      </c>
      <c r="M395" s="2" t="str">
        <f aca="false">CONCATENATE("https://d-nb.info/gnd/",L395)</f>
        <v>https://d-nb.info/gnd/1123581576</v>
      </c>
      <c r="N395" s="3"/>
      <c r="P395" s="3" t="n">
        <v>300417573</v>
      </c>
      <c r="Q395" s="2" t="str">
        <f aca="false">CONCATENATE("https://vocab.getty.edu/aat/",P395)</f>
        <v>https://vocab.getty.edu/aat/300417573</v>
      </c>
      <c r="R395" s="2" t="s">
        <v>2751</v>
      </c>
      <c r="S395" s="2" t="s">
        <v>2753</v>
      </c>
      <c r="X395" s="2" t="n">
        <v>0</v>
      </c>
      <c r="Y395" s="2" t="n">
        <v>0</v>
      </c>
      <c r="AG395" s="4"/>
    </row>
    <row r="396" s="2" customFormat="true" ht="12.8" hidden="false" customHeight="false" outlineLevel="0" collapsed="false">
      <c r="A396" s="1" t="s">
        <v>2756</v>
      </c>
      <c r="B396" s="2" t="n">
        <v>383</v>
      </c>
      <c r="D396" s="2" t="s">
        <v>2757</v>
      </c>
      <c r="F396" s="2" t="s">
        <v>2758</v>
      </c>
      <c r="H396" s="3" t="s">
        <v>2759</v>
      </c>
      <c r="I396" s="2" t="str">
        <f aca="false">CONCATENATE("http://www.wikidata.org/entity/",H396)</f>
        <v>http://www.wikidata.org/entity/Q67604973</v>
      </c>
      <c r="J396" s="3"/>
      <c r="L396" s="3"/>
      <c r="N396" s="3"/>
      <c r="P396" s="3"/>
      <c r="R396" s="2" t="s">
        <v>2757</v>
      </c>
      <c r="S396" s="2" t="s">
        <v>2758</v>
      </c>
      <c r="X396" s="2" t="n">
        <v>0</v>
      </c>
      <c r="Y396" s="2" t="n">
        <v>0</v>
      </c>
      <c r="AG396" s="4"/>
    </row>
    <row r="397" s="2" customFormat="true" ht="12.8" hidden="false" customHeight="false" outlineLevel="0" collapsed="false">
      <c r="A397" s="1" t="s">
        <v>2760</v>
      </c>
      <c r="B397" s="2" t="n">
        <v>384</v>
      </c>
      <c r="D397" s="2" t="s">
        <v>2761</v>
      </c>
      <c r="E397" s="2" t="s">
        <v>2762</v>
      </c>
      <c r="F397" s="2" t="s">
        <v>2763</v>
      </c>
      <c r="G397" s="2" t="s">
        <v>2764</v>
      </c>
      <c r="H397" s="3" t="s">
        <v>2765</v>
      </c>
      <c r="I397" s="2" t="str">
        <f aca="false">CONCATENATE("http://www.wikidata.org/entity/",H397)</f>
        <v>http://www.wikidata.org/entity/Q998550</v>
      </c>
      <c r="J397" s="3" t="s">
        <v>2766</v>
      </c>
      <c r="K397" s="2" t="str">
        <f aca="false">CONCATENATE("https://d-nb.info/gnd/",J397)</f>
        <v>https://d-nb.info/gnd/4130948-0</v>
      </c>
      <c r="L397" s="3" t="s">
        <v>2767</v>
      </c>
      <c r="M397" s="2" t="str">
        <f aca="false">CONCATENATE("https://d-nb.info/gnd/",L397)</f>
        <v>https://d-nb.info/gnd/4352330-4</v>
      </c>
      <c r="N397" s="3"/>
      <c r="P397" s="3" t="n">
        <v>300025244</v>
      </c>
      <c r="Q397" s="2" t="str">
        <f aca="false">CONCATENATE("https://vocab.getty.edu/aat/",P397)</f>
        <v>https://vocab.getty.edu/aat/300025244</v>
      </c>
      <c r="R397" s="2" t="s">
        <v>2761</v>
      </c>
      <c r="S397" s="2" t="s">
        <v>2763</v>
      </c>
      <c r="X397" s="2" t="n">
        <v>0</v>
      </c>
      <c r="Y397" s="2" t="n">
        <v>0</v>
      </c>
      <c r="AG397" s="4"/>
    </row>
    <row r="398" s="2" customFormat="true" ht="12.8" hidden="false" customHeight="false" outlineLevel="0" collapsed="false">
      <c r="A398" s="1" t="s">
        <v>2768</v>
      </c>
      <c r="B398" s="2" t="n">
        <v>385</v>
      </c>
      <c r="C398" s="2" t="n">
        <v>119</v>
      </c>
      <c r="D398" s="2" t="s">
        <v>2769</v>
      </c>
      <c r="E398" s="2" t="s">
        <v>2770</v>
      </c>
      <c r="F398" s="2" t="s">
        <v>2771</v>
      </c>
      <c r="G398" s="2" t="s">
        <v>2772</v>
      </c>
      <c r="H398" s="3" t="s">
        <v>2773</v>
      </c>
      <c r="I398" s="2" t="str">
        <f aca="false">CONCATENATE("http://www.wikidata.org/entity/",H398)</f>
        <v>http://www.wikidata.org/entity/Q1925963</v>
      </c>
      <c r="J398" s="3" t="s">
        <v>2313</v>
      </c>
      <c r="K398" s="2" t="str">
        <f aca="false">CONCATENATE("https://d-nb.info/gnd/",J398)</f>
        <v>https://d-nb.info/gnd/4125173-8</v>
      </c>
      <c r="L398" s="3" t="s">
        <v>2314</v>
      </c>
      <c r="M398" s="2" t="str">
        <f aca="false">CONCATENATE("https://d-nb.info/gnd/",L398)</f>
        <v>https://d-nb.info/gnd/4550852-5</v>
      </c>
      <c r="N398" s="3"/>
      <c r="P398" s="3" t="n">
        <v>300264850</v>
      </c>
      <c r="Q398" s="2" t="str">
        <f aca="false">CONCATENATE("https://vocab.getty.edu/aat/",P398)</f>
        <v>https://vocab.getty.edu/aat/300264850</v>
      </c>
      <c r="R398" s="2" t="s">
        <v>2774</v>
      </c>
      <c r="S398" s="2" t="s">
        <v>2775</v>
      </c>
      <c r="X398" s="2" t="n">
        <v>1</v>
      </c>
      <c r="Y398" s="2" t="n">
        <v>0</v>
      </c>
      <c r="AG398" s="4"/>
    </row>
    <row r="399" s="2" customFormat="true" ht="12.8" hidden="false" customHeight="false" outlineLevel="0" collapsed="false">
      <c r="A399" s="1" t="s">
        <v>2776</v>
      </c>
      <c r="B399" s="2" t="n">
        <v>386</v>
      </c>
      <c r="D399" s="2" t="s">
        <v>2777</v>
      </c>
      <c r="E399" s="2" t="s">
        <v>2778</v>
      </c>
      <c r="F399" s="2" t="s">
        <v>2779</v>
      </c>
      <c r="G399" s="2" t="s">
        <v>2780</v>
      </c>
      <c r="H399" s="3" t="s">
        <v>2781</v>
      </c>
      <c r="I399" s="2" t="str">
        <f aca="false">CONCATENATE("http://www.wikidata.org/entity/",H399)</f>
        <v>http://www.wikidata.org/entity/Q4610556</v>
      </c>
      <c r="J399" s="3"/>
      <c r="L399" s="3"/>
      <c r="N399" s="3"/>
      <c r="P399" s="3" t="n">
        <v>300025848</v>
      </c>
      <c r="Q399" s="2" t="str">
        <f aca="false">CONCATENATE("https://vocab.getty.edu/aat/",P399)</f>
        <v>https://vocab.getty.edu/aat/300025848</v>
      </c>
      <c r="R399" s="2" t="s">
        <v>2777</v>
      </c>
      <c r="S399" s="2" t="s">
        <v>2779</v>
      </c>
      <c r="X399" s="2" t="n">
        <v>0</v>
      </c>
      <c r="Y399" s="2" t="n">
        <v>0</v>
      </c>
      <c r="AG399" s="4"/>
    </row>
    <row r="400" s="2" customFormat="true" ht="12.8" hidden="false" customHeight="false" outlineLevel="0" collapsed="false">
      <c r="A400" s="1" t="s">
        <v>2782</v>
      </c>
      <c r="B400" s="2" t="n">
        <v>387</v>
      </c>
      <c r="C400" s="2" t="n">
        <v>44</v>
      </c>
      <c r="D400" s="2" t="s">
        <v>2783</v>
      </c>
      <c r="E400" s="2" t="s">
        <v>2784</v>
      </c>
      <c r="F400" s="2" t="s">
        <v>2785</v>
      </c>
      <c r="G400" s="2" t="s">
        <v>2786</v>
      </c>
      <c r="H400" s="3" t="s">
        <v>2787</v>
      </c>
      <c r="I400" s="2" t="str">
        <f aca="false">CONCATENATE("http://www.wikidata.org/entity/",H400)</f>
        <v>http://www.wikidata.org/entity/Q3501317</v>
      </c>
      <c r="J400" s="3" t="s">
        <v>2788</v>
      </c>
      <c r="K400" s="2" t="str">
        <f aca="false">CONCATENATE("https://d-nb.info/gnd/",J400)</f>
        <v>https://d-nb.info/gnd/4233568-1</v>
      </c>
      <c r="L400" s="3" t="s">
        <v>2789</v>
      </c>
      <c r="M400" s="2" t="str">
        <f aca="false">CONCATENATE("https://d-nb.info/gnd/",L400)</f>
        <v>https://d-nb.info/gnd/4499835-1</v>
      </c>
      <c r="N400" s="3"/>
      <c r="P400" s="3"/>
      <c r="R400" s="2" t="s">
        <v>2790</v>
      </c>
      <c r="S400" s="2" t="s">
        <v>2791</v>
      </c>
      <c r="X400" s="2" t="n">
        <v>1</v>
      </c>
      <c r="Y400" s="2" t="n">
        <v>0</v>
      </c>
      <c r="AG400" s="4"/>
    </row>
    <row r="401" s="2" customFormat="true" ht="12.8" hidden="false" customHeight="false" outlineLevel="0" collapsed="false">
      <c r="A401" s="1" t="s">
        <v>2792</v>
      </c>
      <c r="B401" s="2" t="n">
        <v>388</v>
      </c>
      <c r="D401" s="2" t="s">
        <v>2793</v>
      </c>
      <c r="E401" s="2" t="s">
        <v>2794</v>
      </c>
      <c r="F401" s="2" t="s">
        <v>2795</v>
      </c>
      <c r="G401" s="2" t="s">
        <v>2796</v>
      </c>
      <c r="H401" s="3" t="s">
        <v>2797</v>
      </c>
      <c r="I401" s="2" t="str">
        <f aca="false">CONCATENATE("http://www.wikidata.org/entity/",H401)</f>
        <v>http://www.wikidata.org/entity/Q107381512</v>
      </c>
      <c r="J401" s="3" t="n">
        <v>1095548077</v>
      </c>
      <c r="K401" s="2" t="str">
        <f aca="false">CONCATENATE("https://d-nb.info/gnd/",J401)</f>
        <v>https://d-nb.info/gnd/1095548077</v>
      </c>
      <c r="L401" s="3" t="n">
        <v>1095548158</v>
      </c>
      <c r="M401" s="2" t="str">
        <f aca="false">CONCATENATE("https://d-nb.info/gnd/",L401)</f>
        <v>https://d-nb.info/gnd/1095548158</v>
      </c>
      <c r="N401" s="3"/>
      <c r="P401" s="3"/>
      <c r="R401" s="2" t="s">
        <v>2793</v>
      </c>
      <c r="S401" s="2" t="s">
        <v>2795</v>
      </c>
      <c r="X401" s="2" t="n">
        <v>0</v>
      </c>
      <c r="Y401" s="2" t="n">
        <v>0</v>
      </c>
      <c r="AG401" s="4"/>
    </row>
    <row r="402" s="2" customFormat="true" ht="12.8" hidden="false" customHeight="false" outlineLevel="0" collapsed="false">
      <c r="A402" s="1" t="s">
        <v>2798</v>
      </c>
      <c r="B402" s="2" t="n">
        <v>389</v>
      </c>
      <c r="C402" s="2" t="n">
        <v>385</v>
      </c>
      <c r="D402" s="2" t="s">
        <v>2799</v>
      </c>
      <c r="E402" s="2" t="s">
        <v>2800</v>
      </c>
      <c r="F402" s="2" t="s">
        <v>2801</v>
      </c>
      <c r="G402" s="2" t="s">
        <v>2802</v>
      </c>
      <c r="H402" s="3" t="s">
        <v>2803</v>
      </c>
      <c r="I402" s="2" t="str">
        <f aca="false">CONCATENATE("http://www.wikidata.org/entity/",H402)</f>
        <v>http://www.wikidata.org/entity/Q15296811</v>
      </c>
      <c r="J402" s="3" t="s">
        <v>2804</v>
      </c>
      <c r="K402" s="2" t="str">
        <f aca="false">CONCATENATE("https://d-nb.info/gnd/",J402)</f>
        <v>https://d-nb.info/gnd/4200345-3</v>
      </c>
      <c r="L402" s="3" t="s">
        <v>2805</v>
      </c>
      <c r="M402" s="2" t="str">
        <f aca="false">CONCATENATE("https://d-nb.info/gnd/",L402)</f>
        <v>https://d-nb.info/gnd/4394819-4</v>
      </c>
      <c r="N402" s="3"/>
      <c r="P402" s="3" t="n">
        <v>300112172</v>
      </c>
      <c r="Q402" s="2" t="str">
        <f aca="false">CONCATENATE("https://vocab.getty.edu/aat/",P402)</f>
        <v>https://vocab.getty.edu/aat/300112172</v>
      </c>
      <c r="R402" s="2" t="s">
        <v>2806</v>
      </c>
      <c r="S402" s="2" t="s">
        <v>2807</v>
      </c>
      <c r="X402" s="2" t="n">
        <v>1</v>
      </c>
      <c r="Y402" s="2" t="n">
        <v>0</v>
      </c>
      <c r="AG402" s="4"/>
    </row>
    <row r="403" s="2" customFormat="true" ht="13.95" hidden="false" customHeight="false" outlineLevel="0" collapsed="false">
      <c r="A403" s="1" t="s">
        <v>2808</v>
      </c>
      <c r="B403" s="2" t="n">
        <v>390</v>
      </c>
      <c r="C403" s="5" t="n">
        <v>385</v>
      </c>
      <c r="D403" s="2" t="s">
        <v>2809</v>
      </c>
      <c r="E403" s="2" t="s">
        <v>2810</v>
      </c>
      <c r="F403" s="2" t="s">
        <v>2811</v>
      </c>
      <c r="G403" s="2" t="s">
        <v>2812</v>
      </c>
      <c r="H403" s="3" t="s">
        <v>2813</v>
      </c>
      <c r="I403" s="2" t="str">
        <f aca="false">CONCATENATE("http://www.wikidata.org/entity/",H403)</f>
        <v>http://www.wikidata.org/entity/Q715301</v>
      </c>
      <c r="J403" s="3"/>
      <c r="L403" s="3"/>
      <c r="N403" s="3"/>
      <c r="P403" s="3" t="n">
        <v>300438810</v>
      </c>
      <c r="Q403" s="2" t="str">
        <f aca="false">CONCATENATE("https://vocab.getty.edu/aat/",P403)</f>
        <v>https://vocab.getty.edu/aat/300438810</v>
      </c>
      <c r="R403" s="2" t="s">
        <v>2814</v>
      </c>
      <c r="S403" s="2" t="s">
        <v>2815</v>
      </c>
      <c r="X403" s="2" t="n">
        <v>1</v>
      </c>
      <c r="Y403" s="2" t="n">
        <v>0</v>
      </c>
      <c r="AG403" s="4"/>
    </row>
    <row r="404" s="2" customFormat="true" ht="12.8" hidden="false" customHeight="false" outlineLevel="0" collapsed="false">
      <c r="A404" s="1" t="s">
        <v>2816</v>
      </c>
      <c r="B404" s="2" t="n">
        <v>391</v>
      </c>
      <c r="D404" s="2" t="s">
        <v>2817</v>
      </c>
      <c r="E404" s="2" t="s">
        <v>2818</v>
      </c>
      <c r="F404" s="2" t="s">
        <v>2819</v>
      </c>
      <c r="G404" s="2" t="s">
        <v>2820</v>
      </c>
      <c r="H404" s="3" t="s">
        <v>2821</v>
      </c>
      <c r="I404" s="2" t="str">
        <f aca="false">CONCATENATE("http://www.wikidata.org/entity/",H404)</f>
        <v>http://www.wikidata.org/entity/Q1861368</v>
      </c>
      <c r="J404" s="3" t="s">
        <v>2822</v>
      </c>
      <c r="K404" s="2" t="str">
        <f aca="false">CONCATENATE("https://d-nb.info/gnd/",J404)</f>
        <v>https://d-nb.info/gnd/7730337-4</v>
      </c>
      <c r="L404" s="3" t="s">
        <v>2823</v>
      </c>
      <c r="M404" s="2" t="str">
        <f aca="false">CONCATENATE("https://d-nb.info/gnd/",L404)</f>
        <v>https://d-nb.info/gnd/7730339-8</v>
      </c>
      <c r="N404" s="3"/>
      <c r="P404" s="3" t="n">
        <v>300025184</v>
      </c>
      <c r="Q404" s="2" t="str">
        <f aca="false">CONCATENATE("https://vocab.getty.edu/aat/",P404)</f>
        <v>https://vocab.getty.edu/aat/300025184</v>
      </c>
      <c r="R404" s="2" t="s">
        <v>2817</v>
      </c>
      <c r="S404" s="2" t="s">
        <v>2819</v>
      </c>
      <c r="X404" s="2" t="n">
        <v>0</v>
      </c>
      <c r="Y404" s="2" t="n">
        <v>0</v>
      </c>
      <c r="AG404" s="4"/>
    </row>
    <row r="405" s="2" customFormat="true" ht="12.8" hidden="false" customHeight="false" outlineLevel="0" collapsed="false">
      <c r="A405" s="1" t="s">
        <v>2824</v>
      </c>
      <c r="B405" s="2" t="n">
        <v>392</v>
      </c>
      <c r="D405" s="2" t="s">
        <v>2825</v>
      </c>
      <c r="F405" s="2" t="s">
        <v>2826</v>
      </c>
      <c r="G405" s="2" t="s">
        <v>2827</v>
      </c>
      <c r="H405" s="3" t="s">
        <v>2828</v>
      </c>
      <c r="I405" s="2" t="str">
        <f aca="false">CONCATENATE("http://www.wikidata.org/entity/",H405)</f>
        <v>http://www.wikidata.org/entity/Q1093536</v>
      </c>
      <c r="J405" s="3"/>
      <c r="L405" s="3"/>
      <c r="N405" s="3"/>
      <c r="P405" s="3"/>
      <c r="R405" s="2" t="s">
        <v>2825</v>
      </c>
      <c r="S405" s="2" t="s">
        <v>2826</v>
      </c>
      <c r="X405" s="2" t="n">
        <v>0</v>
      </c>
      <c r="Y405" s="2" t="n">
        <v>0</v>
      </c>
      <c r="AG405" s="4"/>
    </row>
    <row r="406" s="2" customFormat="true" ht="12.8" hidden="false" customHeight="false" outlineLevel="0" collapsed="false">
      <c r="A406" s="1" t="s">
        <v>2829</v>
      </c>
      <c r="B406" s="2" t="n">
        <v>393</v>
      </c>
      <c r="D406" s="2" t="s">
        <v>2830</v>
      </c>
      <c r="F406" s="2" t="s">
        <v>2831</v>
      </c>
      <c r="G406" s="2" t="s">
        <v>2832</v>
      </c>
      <c r="H406" s="3" t="s">
        <v>2833</v>
      </c>
      <c r="I406" s="2" t="str">
        <f aca="false">CONCATENATE("http://www.wikidata.org/entity/",H406)</f>
        <v>http://www.wikidata.org/entity/Q14565186</v>
      </c>
      <c r="J406" s="3" t="s">
        <v>2834</v>
      </c>
      <c r="K406" s="2" t="str">
        <f aca="false">CONCATENATE("https://d-nb.info/gnd/",J406)</f>
        <v>https://d-nb.info/gnd/7557940-6</v>
      </c>
      <c r="L406" s="3" t="s">
        <v>2835</v>
      </c>
      <c r="M406" s="2" t="str">
        <f aca="false">CONCATENATE("https://d-nb.info/gnd/",L406)</f>
        <v>https://d-nb.info/gnd/7704905-6</v>
      </c>
      <c r="N406" s="3"/>
      <c r="P406" s="3"/>
      <c r="R406" s="2" t="s">
        <v>2830</v>
      </c>
      <c r="S406" s="2" t="s">
        <v>2831</v>
      </c>
      <c r="X406" s="2" t="n">
        <v>0</v>
      </c>
      <c r="Y406" s="2" t="n">
        <v>0</v>
      </c>
      <c r="AG406" s="4"/>
    </row>
    <row r="407" s="2" customFormat="true" ht="12.8" hidden="false" customHeight="false" outlineLevel="0" collapsed="false">
      <c r="A407" s="1" t="s">
        <v>2836</v>
      </c>
      <c r="B407" s="2" t="n">
        <v>394</v>
      </c>
      <c r="D407" s="2" t="s">
        <v>2837</v>
      </c>
      <c r="E407" s="2" t="s">
        <v>2838</v>
      </c>
      <c r="F407" s="2" t="s">
        <v>2839</v>
      </c>
      <c r="H407" s="3" t="s">
        <v>2840</v>
      </c>
      <c r="I407" s="2" t="str">
        <f aca="false">CONCATENATE("http://www.wikidata.org/entity/",H407)</f>
        <v>http://www.wikidata.org/entity/Q170790</v>
      </c>
      <c r="J407" s="3" t="s">
        <v>2841</v>
      </c>
      <c r="K407" s="2" t="str">
        <f aca="false">CONCATENATE("https://d-nb.info/gnd/",J407)</f>
        <v>https://d-nb.info/gnd/4037945-0</v>
      </c>
      <c r="L407" s="3" t="s">
        <v>2842</v>
      </c>
      <c r="M407" s="2" t="str">
        <f aca="false">CONCATENATE("https://d-nb.info/gnd/",L407)</f>
        <v>https://d-nb.info/gnd/4252788-0</v>
      </c>
      <c r="N407" s="3"/>
      <c r="P407" s="3" t="n">
        <v>300025786</v>
      </c>
      <c r="Q407" s="2" t="str">
        <f aca="false">CONCATENATE("https://vocab.getty.edu/aat/",P407)</f>
        <v>https://vocab.getty.edu/aat/300025786</v>
      </c>
      <c r="R407" s="2" t="s">
        <v>2837</v>
      </c>
      <c r="S407" s="2" t="s">
        <v>2839</v>
      </c>
      <c r="X407" s="2" t="n">
        <v>0</v>
      </c>
      <c r="Y407" s="2" t="n">
        <v>0</v>
      </c>
      <c r="AG407" s="4"/>
    </row>
    <row r="408" s="2" customFormat="true" ht="12.8" hidden="false" customHeight="false" outlineLevel="0" collapsed="false">
      <c r="A408" s="1" t="s">
        <v>2843</v>
      </c>
      <c r="B408" s="2" t="n">
        <v>395</v>
      </c>
      <c r="D408" s="2" t="s">
        <v>2844</v>
      </c>
      <c r="E408" s="2" t="s">
        <v>2845</v>
      </c>
      <c r="F408" s="2" t="s">
        <v>2846</v>
      </c>
      <c r="H408" s="3" t="s">
        <v>2847</v>
      </c>
      <c r="I408" s="2" t="str">
        <f aca="false">CONCATENATE("http://www.wikidata.org/entity/",H408)</f>
        <v>http://www.wikidata.org/entity/Q10429552</v>
      </c>
      <c r="J408" s="3"/>
      <c r="L408" s="3"/>
      <c r="N408" s="3"/>
      <c r="P408" s="3"/>
      <c r="R408" s="2" t="s">
        <v>2844</v>
      </c>
      <c r="S408" s="2" t="s">
        <v>2846</v>
      </c>
      <c r="X408" s="2" t="n">
        <v>0</v>
      </c>
      <c r="Y408" s="2" t="n">
        <v>0</v>
      </c>
      <c r="AG408" s="4"/>
    </row>
    <row r="409" s="2" customFormat="true" ht="12.8" hidden="false" customHeight="false" outlineLevel="0" collapsed="false">
      <c r="A409" s="1" t="s">
        <v>2848</v>
      </c>
      <c r="B409" s="2" t="n">
        <v>396</v>
      </c>
      <c r="D409" s="2" t="s">
        <v>2849</v>
      </c>
      <c r="F409" s="2" t="s">
        <v>2850</v>
      </c>
      <c r="G409" s="2" t="s">
        <v>2851</v>
      </c>
      <c r="H409" s="3" t="s">
        <v>2847</v>
      </c>
      <c r="I409" s="2" t="str">
        <f aca="false">CONCATENATE("http://www.wikidata.org/entity/",H409)</f>
        <v>http://www.wikidata.org/entity/Q10429552</v>
      </c>
      <c r="J409" s="3"/>
      <c r="L409" s="3"/>
      <c r="N409" s="3"/>
      <c r="P409" s="3"/>
      <c r="R409" s="2" t="s">
        <v>2849</v>
      </c>
      <c r="S409" s="2" t="s">
        <v>2850</v>
      </c>
      <c r="X409" s="2" t="n">
        <v>0</v>
      </c>
      <c r="Y409" s="2" t="n">
        <v>0</v>
      </c>
      <c r="AG409" s="4"/>
    </row>
    <row r="410" s="2" customFormat="true" ht="12.8" hidden="false" customHeight="false" outlineLevel="0" collapsed="false">
      <c r="A410" s="1" t="s">
        <v>2852</v>
      </c>
      <c r="B410" s="2" t="n">
        <v>397</v>
      </c>
      <c r="D410" s="2" t="s">
        <v>2853</v>
      </c>
      <c r="E410" s="2" t="s">
        <v>2854</v>
      </c>
      <c r="F410" s="2" t="s">
        <v>2855</v>
      </c>
      <c r="G410" s="2" t="s">
        <v>2856</v>
      </c>
      <c r="H410" s="3" t="s">
        <v>2857</v>
      </c>
      <c r="I410" s="2" t="str">
        <f aca="false">CONCATENATE("http://www.wikidata.org/entity/",H410)</f>
        <v>http://www.wikidata.org/entity/Q2722764</v>
      </c>
      <c r="J410" s="3"/>
      <c r="L410" s="3"/>
      <c r="N410" s="3"/>
      <c r="P410" s="3"/>
      <c r="R410" s="2" t="s">
        <v>2853</v>
      </c>
      <c r="S410" s="2" t="s">
        <v>2855</v>
      </c>
      <c r="X410" s="2" t="n">
        <v>0</v>
      </c>
      <c r="Y410" s="2" t="n">
        <v>0</v>
      </c>
      <c r="AG410" s="4"/>
    </row>
    <row r="411" s="2" customFormat="true" ht="12.8" hidden="false" customHeight="false" outlineLevel="0" collapsed="false">
      <c r="A411" s="1" t="s">
        <v>2858</v>
      </c>
      <c r="B411" s="2" t="n">
        <v>398</v>
      </c>
      <c r="D411" s="2" t="s">
        <v>2859</v>
      </c>
      <c r="F411" s="2" t="s">
        <v>2860</v>
      </c>
      <c r="H411" s="3" t="s">
        <v>2861</v>
      </c>
      <c r="I411" s="2" t="str">
        <f aca="false">CONCATENATE("http://www.wikidata.org/entity/",H411)</f>
        <v>http://www.wikidata.org/entity/Q1364080</v>
      </c>
      <c r="J411" s="3"/>
      <c r="L411" s="3"/>
      <c r="N411" s="3"/>
      <c r="P411" s="3"/>
      <c r="R411" s="2" t="s">
        <v>2859</v>
      </c>
      <c r="S411" s="2" t="s">
        <v>2860</v>
      </c>
      <c r="X411" s="2" t="n">
        <v>0</v>
      </c>
      <c r="Y411" s="2" t="n">
        <v>0</v>
      </c>
      <c r="AG411" s="4"/>
    </row>
    <row r="412" s="2" customFormat="true" ht="12.8" hidden="false" customHeight="false" outlineLevel="0" collapsed="false">
      <c r="A412" s="1" t="s">
        <v>2862</v>
      </c>
      <c r="B412" s="2" t="n">
        <v>399</v>
      </c>
      <c r="D412" s="2" t="s">
        <v>2863</v>
      </c>
      <c r="E412" s="2" t="s">
        <v>2864</v>
      </c>
      <c r="F412" s="2" t="s">
        <v>2865</v>
      </c>
      <c r="G412" s="2" t="s">
        <v>2866</v>
      </c>
      <c r="H412" s="3" t="s">
        <v>2867</v>
      </c>
      <c r="I412" s="2" t="str">
        <f aca="false">CONCATENATE("http://www.wikidata.org/entity/",H412)</f>
        <v>http://www.wikidata.org/entity/Q21560152</v>
      </c>
      <c r="J412" s="3"/>
      <c r="L412" s="3"/>
      <c r="N412" s="3"/>
      <c r="P412" s="3"/>
      <c r="R412" s="2" t="s">
        <v>2868</v>
      </c>
      <c r="S412" s="2" t="s">
        <v>2869</v>
      </c>
      <c r="X412" s="23" t="s">
        <v>2870</v>
      </c>
      <c r="Y412" s="23" t="s">
        <v>2870</v>
      </c>
      <c r="AG412" s="4"/>
    </row>
    <row r="413" s="2" customFormat="true" ht="12.8" hidden="false" customHeight="false" outlineLevel="0" collapsed="false">
      <c r="A413" s="1" t="s">
        <v>2871</v>
      </c>
      <c r="B413" s="2" t="n">
        <v>400</v>
      </c>
      <c r="D413" s="2" t="s">
        <v>2872</v>
      </c>
      <c r="F413" s="2" t="s">
        <v>2873</v>
      </c>
      <c r="H413" s="3" t="s">
        <v>2874</v>
      </c>
      <c r="I413" s="2" t="str">
        <f aca="false">CONCATENATE("http://www.wikidata.org/entity/",H413)</f>
        <v>http://www.wikidata.org/entity/Q133080</v>
      </c>
      <c r="J413" s="3"/>
      <c r="L413" s="3"/>
      <c r="N413" s="3"/>
      <c r="P413" s="3"/>
      <c r="R413" s="2" t="s">
        <v>2872</v>
      </c>
      <c r="S413" s="2" t="s">
        <v>2873</v>
      </c>
      <c r="X413" s="2" t="n">
        <v>0</v>
      </c>
      <c r="Y413" s="2" t="n">
        <v>0</v>
      </c>
      <c r="AG413" s="4"/>
    </row>
    <row r="414" s="2" customFormat="true" ht="12.8" hidden="false" customHeight="false" outlineLevel="0" collapsed="false">
      <c r="A414" s="1" t="s">
        <v>2875</v>
      </c>
      <c r="B414" s="2" t="n">
        <v>401</v>
      </c>
      <c r="D414" s="2" t="s">
        <v>2876</v>
      </c>
      <c r="E414" s="2" t="s">
        <v>2877</v>
      </c>
      <c r="F414" s="2" t="s">
        <v>2878</v>
      </c>
      <c r="G414" s="2" t="s">
        <v>2879</v>
      </c>
      <c r="H414" s="3" t="s">
        <v>2880</v>
      </c>
      <c r="I414" s="2" t="str">
        <f aca="false">CONCATENATE("http://www.wikidata.org/entity/",H414)</f>
        <v>http://www.wikidata.org/entity/Q1824074</v>
      </c>
      <c r="J414" s="3"/>
      <c r="L414" s="3"/>
      <c r="N414" s="3" t="s">
        <v>2881</v>
      </c>
      <c r="O414" s="2" t="str">
        <f aca="false">CONCATENATE("https://d-nb.info/gnd/",N414)</f>
        <v>https://d-nb.info/gnd/4138438-6</v>
      </c>
      <c r="P414" s="3"/>
      <c r="R414" s="2" t="s">
        <v>2876</v>
      </c>
      <c r="S414" s="2" t="s">
        <v>2878</v>
      </c>
      <c r="X414" s="2" t="n">
        <v>0</v>
      </c>
      <c r="Y414" s="2" t="n">
        <v>1</v>
      </c>
      <c r="AG414" s="4"/>
    </row>
    <row r="415" s="2" customFormat="true" ht="12.8" hidden="false" customHeight="false" outlineLevel="0" collapsed="false">
      <c r="A415" s="1" t="s">
        <v>2882</v>
      </c>
      <c r="B415" s="2" t="n">
        <v>402</v>
      </c>
      <c r="D415" s="2" t="s">
        <v>2883</v>
      </c>
      <c r="E415" s="2" t="s">
        <v>2884</v>
      </c>
      <c r="F415" s="2" t="s">
        <v>2885</v>
      </c>
      <c r="G415" s="2" t="s">
        <v>2886</v>
      </c>
      <c r="H415" s="3" t="s">
        <v>2887</v>
      </c>
      <c r="I415" s="2" t="str">
        <f aca="false">CONCATENATE("http://www.wikidata.org/entity/",H415)</f>
        <v>http://www.wikidata.org/entity/Q16538479</v>
      </c>
      <c r="J415" s="3" t="s">
        <v>2888</v>
      </c>
      <c r="K415" s="2" t="str">
        <f aca="false">CONCATENATE("https://d-nb.info/gnd/",J415)</f>
        <v>https://d-nb.info/gnd/4130594-2</v>
      </c>
      <c r="L415" s="3" t="n">
        <v>1045033634</v>
      </c>
      <c r="M415" s="2" t="str">
        <f aca="false">CONCATENATE("https://d-nb.info/gnd/",L415)</f>
        <v>https://d-nb.info/gnd/1045033634</v>
      </c>
      <c r="N415" s="3"/>
      <c r="P415" s="3"/>
      <c r="R415" s="2" t="s">
        <v>2883</v>
      </c>
      <c r="S415" s="2" t="s">
        <v>2885</v>
      </c>
      <c r="X415" s="2" t="n">
        <v>0</v>
      </c>
      <c r="Y415" s="2" t="n">
        <v>0</v>
      </c>
      <c r="AG415" s="4"/>
    </row>
    <row r="416" s="2" customFormat="true" ht="12.8" hidden="false" customHeight="false" outlineLevel="0" collapsed="false">
      <c r="A416" s="1" t="s">
        <v>2889</v>
      </c>
      <c r="B416" s="2" t="n">
        <v>403</v>
      </c>
      <c r="D416" s="2" t="s">
        <v>2890</v>
      </c>
      <c r="E416" s="2" t="s">
        <v>2891</v>
      </c>
      <c r="F416" s="2" t="s">
        <v>2892</v>
      </c>
      <c r="H416" s="3" t="s">
        <v>2893</v>
      </c>
      <c r="I416" s="2" t="str">
        <f aca="false">CONCATENATE("http://www.wikidata.org/entity/",H416)</f>
        <v>http://www.wikidata.org/entity/Q13590141</v>
      </c>
      <c r="J416" s="3" t="s">
        <v>2894</v>
      </c>
      <c r="K416" s="2" t="str">
        <f aca="false">CONCATENATE("https://d-nb.info/gnd/",J416)</f>
        <v>https://d-nb.info/gnd/4170313-3</v>
      </c>
      <c r="L416" s="3" t="s">
        <v>2895</v>
      </c>
      <c r="M416" s="2" t="str">
        <f aca="false">CONCATENATE("https://d-nb.info/gnd/",L416)</f>
        <v>https://d-nb.info/gnd/4560593-2</v>
      </c>
      <c r="N416" s="3"/>
      <c r="P416" s="3"/>
      <c r="R416" s="2" t="s">
        <v>2890</v>
      </c>
      <c r="S416" s="2" t="s">
        <v>2892</v>
      </c>
      <c r="X416" s="23" t="s">
        <v>2870</v>
      </c>
      <c r="Y416" s="23" t="s">
        <v>2870</v>
      </c>
      <c r="AG416" s="4"/>
    </row>
    <row r="417" s="2" customFormat="true" ht="12.8" hidden="false" customHeight="false" outlineLevel="0" collapsed="false">
      <c r="A417" s="1" t="s">
        <v>2896</v>
      </c>
      <c r="B417" s="2" t="n">
        <v>404</v>
      </c>
      <c r="D417" s="2" t="s">
        <v>2897</v>
      </c>
      <c r="E417" s="2" t="s">
        <v>2898</v>
      </c>
      <c r="F417" s="2" t="s">
        <v>2899</v>
      </c>
      <c r="H417" s="3" t="s">
        <v>2900</v>
      </c>
      <c r="I417" s="2" t="str">
        <f aca="false">CONCATENATE("http://www.wikidata.org/entity/",H417)</f>
        <v>http://www.wikidata.org/entity/Q355493</v>
      </c>
      <c r="J417" s="3" t="s">
        <v>2901</v>
      </c>
      <c r="K417" s="2" t="str">
        <f aca="false">CONCATENATE("https://d-nb.info/gnd/",J417)</f>
        <v>https://d-nb.info/gnd/4163926-1</v>
      </c>
      <c r="L417" s="3" t="s">
        <v>2902</v>
      </c>
      <c r="M417" s="2" t="str">
        <f aca="false">CONCATENATE("https://d-nb.info/gnd/",L417)</f>
        <v>https://d-nb.info/gnd/7587363-1</v>
      </c>
      <c r="N417" s="3"/>
      <c r="P417" s="3"/>
      <c r="R417" s="2" t="s">
        <v>2897</v>
      </c>
      <c r="S417" s="2" t="s">
        <v>2899</v>
      </c>
      <c r="X417" s="2" t="n">
        <v>0</v>
      </c>
      <c r="Y417" s="2" t="n">
        <v>1</v>
      </c>
      <c r="AG417" s="4"/>
    </row>
    <row r="418" s="2" customFormat="true" ht="13.95" hidden="false" customHeight="false" outlineLevel="0" collapsed="false">
      <c r="A418" s="1" t="s">
        <v>2903</v>
      </c>
      <c r="B418" s="2" t="n">
        <v>405</v>
      </c>
      <c r="D418" s="5" t="s">
        <v>2904</v>
      </c>
      <c r="F418" s="5" t="s">
        <v>2905</v>
      </c>
      <c r="H418" s="24" t="s">
        <v>2906</v>
      </c>
      <c r="I418" s="2" t="str">
        <f aca="false">CONCATENATE("http://www.wikidata.org/entity/",H418)</f>
        <v>http://www.wikidata.org/entity/Q17322837</v>
      </c>
      <c r="J418" s="3"/>
      <c r="L418" s="3"/>
      <c r="N418" s="3"/>
      <c r="P418" s="3"/>
      <c r="R418" s="5" t="s">
        <v>2904</v>
      </c>
      <c r="S418" s="5" t="s">
        <v>2905</v>
      </c>
      <c r="X418" s="2" t="n">
        <v>1</v>
      </c>
      <c r="Y418" s="2" t="n">
        <v>0</v>
      </c>
      <c r="AG418" s="4"/>
    </row>
    <row r="419" s="2" customFormat="true" ht="26.1" hidden="false" customHeight="false" outlineLevel="0" collapsed="false">
      <c r="A419" s="1" t="s">
        <v>2907</v>
      </c>
      <c r="B419" s="2" t="n">
        <v>406</v>
      </c>
      <c r="C419" s="2" t="n">
        <v>160</v>
      </c>
      <c r="D419" s="5" t="s">
        <v>2908</v>
      </c>
      <c r="F419" s="5" t="s">
        <v>2909</v>
      </c>
      <c r="H419" s="2" t="s">
        <v>2910</v>
      </c>
      <c r="I419" s="2" t="str">
        <f aca="false">CONCATENATE("http://www.wikidata.org/entity/",H419)</f>
        <v>http://www.wikidata.org/entity/Q140130459</v>
      </c>
      <c r="J419" s="3"/>
      <c r="L419" s="3"/>
      <c r="N419" s="3"/>
      <c r="P419" s="3"/>
      <c r="R419" s="5" t="s">
        <v>2911</v>
      </c>
      <c r="S419" s="25" t="s">
        <v>2912</v>
      </c>
      <c r="X419" s="2" t="n">
        <v>0</v>
      </c>
      <c r="Y419" s="2" t="n">
        <v>1</v>
      </c>
      <c r="AG419" s="4"/>
    </row>
    <row r="420" s="2" customFormat="true" ht="13.35" hidden="false" customHeight="false" outlineLevel="0" collapsed="false">
      <c r="A420" s="1" t="s">
        <v>2913</v>
      </c>
      <c r="B420" s="2" t="n">
        <v>407</v>
      </c>
      <c r="C420" s="2" t="n">
        <v>160</v>
      </c>
      <c r="D420" s="5" t="s">
        <v>2914</v>
      </c>
      <c r="F420" s="5" t="s">
        <v>2915</v>
      </c>
      <c r="H420" s="2" t="s">
        <v>2916</v>
      </c>
      <c r="I420" s="2" t="str">
        <f aca="false">CONCATENATE("http://www.wikidata.org/entity/",H420)</f>
        <v>http://www.wikidata.org/entity/Q11308619</v>
      </c>
      <c r="J420" s="3"/>
      <c r="L420" s="3"/>
      <c r="N420" s="3"/>
      <c r="P420" s="3"/>
      <c r="R420" s="5" t="s">
        <v>2917</v>
      </c>
      <c r="S420" s="5" t="s">
        <v>2918</v>
      </c>
      <c r="X420" s="2" t="n">
        <v>0</v>
      </c>
      <c r="Y420" s="2" t="n">
        <v>1</v>
      </c>
      <c r="AG420" s="4"/>
    </row>
    <row r="421" s="2" customFormat="true" ht="12.8" hidden="false" customHeight="false" outlineLevel="0" collapsed="false">
      <c r="A421" s="1"/>
      <c r="H421" s="3"/>
      <c r="J421" s="3"/>
      <c r="L421" s="3"/>
      <c r="N421" s="3"/>
      <c r="P421" s="3"/>
      <c r="AG421" s="4"/>
    </row>
    <row r="422" s="2" customFormat="true" ht="12.8" hidden="false" customHeight="false" outlineLevel="0" collapsed="false">
      <c r="A422" s="1"/>
      <c r="H422" s="3"/>
      <c r="J422" s="3"/>
      <c r="L422" s="3"/>
      <c r="N422" s="3"/>
      <c r="P422" s="3"/>
      <c r="AG422" s="4"/>
    </row>
    <row r="423" s="2" customFormat="true" ht="12.8" hidden="false" customHeight="false" outlineLevel="0" collapsed="false">
      <c r="A423" s="1"/>
      <c r="H423" s="3"/>
      <c r="J423" s="3"/>
      <c r="L423" s="3"/>
      <c r="N423" s="3"/>
      <c r="P423" s="3"/>
      <c r="AG423" s="4"/>
    </row>
    <row r="424" s="2" customFormat="true" ht="12.8" hidden="false" customHeight="false" outlineLevel="0" collapsed="false">
      <c r="A424" s="1"/>
      <c r="H424" s="3"/>
      <c r="J424" s="3"/>
      <c r="L424" s="3"/>
      <c r="N424" s="3"/>
      <c r="P424" s="3"/>
      <c r="AG424" s="4"/>
    </row>
    <row r="425" s="2" customFormat="true" ht="12.8" hidden="false" customHeight="false" outlineLevel="0" collapsed="false">
      <c r="A425" s="1"/>
      <c r="H425" s="3"/>
      <c r="J425" s="3"/>
      <c r="L425" s="3"/>
      <c r="N425" s="3"/>
      <c r="P425" s="3"/>
      <c r="AG425" s="4"/>
    </row>
    <row r="426" s="2" customFormat="true" ht="12.8" hidden="false" customHeight="false" outlineLevel="0" collapsed="false">
      <c r="A426" s="1"/>
      <c r="H426" s="3"/>
      <c r="J426" s="3"/>
      <c r="L426" s="3"/>
      <c r="N426" s="3"/>
      <c r="P426" s="3"/>
      <c r="AG426" s="4"/>
    </row>
    <row r="427" s="2" customFormat="true" ht="12.8" hidden="false" customHeight="false" outlineLevel="0" collapsed="false">
      <c r="A427" s="1"/>
      <c r="H427" s="3"/>
      <c r="J427" s="3"/>
      <c r="L427" s="3"/>
      <c r="N427" s="3"/>
      <c r="P427" s="3"/>
      <c r="AG427" s="4"/>
    </row>
    <row r="428" s="2" customFormat="true" ht="12.8" hidden="false" customHeight="false" outlineLevel="0" collapsed="false">
      <c r="A428" s="1"/>
      <c r="H428" s="3"/>
      <c r="J428" s="3"/>
      <c r="L428" s="3"/>
      <c r="N428" s="3"/>
      <c r="P428" s="3"/>
      <c r="AG428" s="4"/>
    </row>
    <row r="429" s="2" customFormat="true" ht="12.8" hidden="false" customHeight="false" outlineLevel="0" collapsed="false">
      <c r="A429" s="1"/>
      <c r="H429" s="3"/>
      <c r="J429" s="3"/>
      <c r="L429" s="3"/>
      <c r="N429" s="3"/>
      <c r="P429" s="3"/>
      <c r="AG429" s="4"/>
    </row>
    <row r="430" s="2" customFormat="true" ht="12.8" hidden="false" customHeight="false" outlineLevel="0" collapsed="false">
      <c r="A430" s="1"/>
      <c r="H430" s="3"/>
      <c r="J430" s="3"/>
      <c r="L430" s="3"/>
      <c r="N430" s="3"/>
      <c r="P430" s="3"/>
      <c r="AG430" s="4"/>
    </row>
    <row r="431" s="2" customFormat="true" ht="12.8" hidden="false" customHeight="false" outlineLevel="0" collapsed="false">
      <c r="A431" s="1"/>
      <c r="H431" s="3" t="s">
        <v>587</v>
      </c>
      <c r="J431" s="3"/>
      <c r="L431" s="3"/>
      <c r="N431" s="3"/>
      <c r="P431" s="3"/>
      <c r="AG431" s="4"/>
    </row>
    <row r="432" s="2" customFormat="true" ht="12.8" hidden="false" customHeight="false" outlineLevel="0" collapsed="false">
      <c r="A432" s="1"/>
      <c r="H432" s="3"/>
      <c r="J432" s="3"/>
      <c r="L432" s="3"/>
      <c r="N432" s="3"/>
      <c r="P432" s="3"/>
      <c r="AG432" s="4"/>
    </row>
    <row r="433" s="2" customFormat="true" ht="12.8" hidden="false" customHeight="false" outlineLevel="0" collapsed="false">
      <c r="A433" s="1"/>
      <c r="H433" s="3"/>
      <c r="J433" s="3"/>
      <c r="L433" s="3"/>
      <c r="N433" s="3"/>
      <c r="P433" s="3"/>
      <c r="AG433" s="4"/>
    </row>
    <row r="434" s="2" customFormat="true" ht="12.8" hidden="false" customHeight="false" outlineLevel="0" collapsed="false">
      <c r="A434" s="1"/>
      <c r="H434" s="3"/>
      <c r="J434" s="3"/>
      <c r="L434" s="3"/>
      <c r="N434" s="3"/>
      <c r="P434" s="3"/>
      <c r="AG434" s="4"/>
    </row>
    <row r="435" s="2" customFormat="true" ht="12.8" hidden="false" customHeight="false" outlineLevel="0" collapsed="false">
      <c r="A435" s="1"/>
      <c r="H435" s="3"/>
      <c r="J435" s="3"/>
      <c r="L435" s="3"/>
      <c r="N435" s="3"/>
      <c r="P435" s="3"/>
      <c r="AG435" s="4"/>
    </row>
    <row r="436" s="2" customFormat="true" ht="12.8" hidden="false" customHeight="false" outlineLevel="0" collapsed="false">
      <c r="A436" s="1"/>
      <c r="H436" s="3"/>
      <c r="J436" s="3"/>
      <c r="L436" s="3"/>
      <c r="N436" s="3"/>
      <c r="P436" s="3"/>
      <c r="AG436" s="4"/>
    </row>
    <row r="437" s="2" customFormat="true" ht="12.8" hidden="false" customHeight="false" outlineLevel="0" collapsed="false">
      <c r="A437" s="1"/>
      <c r="H437" s="3"/>
      <c r="J437" s="3"/>
      <c r="L437" s="3"/>
      <c r="N437" s="3"/>
      <c r="P437" s="3"/>
      <c r="AG437" s="4"/>
    </row>
    <row r="438" s="2" customFormat="true" ht="12.8" hidden="false" customHeight="false" outlineLevel="0" collapsed="false">
      <c r="A438" s="1"/>
      <c r="H438" s="3"/>
      <c r="J438" s="3"/>
      <c r="L438" s="3"/>
      <c r="N438" s="3"/>
      <c r="P438" s="3"/>
      <c r="AG438" s="4"/>
    </row>
    <row r="439" s="2" customFormat="true" ht="12.8" hidden="false" customHeight="false" outlineLevel="0" collapsed="false">
      <c r="A439" s="1"/>
      <c r="H439" s="3"/>
      <c r="J439" s="3"/>
      <c r="L439" s="3"/>
      <c r="N439" s="3"/>
      <c r="P439" s="3"/>
      <c r="AG439" s="4"/>
    </row>
    <row r="440" s="2" customFormat="true" ht="12.8" hidden="false" customHeight="false" outlineLevel="0" collapsed="false">
      <c r="A440" s="1"/>
      <c r="H440" s="3"/>
      <c r="J440" s="3"/>
      <c r="L440" s="3"/>
      <c r="N440" s="3"/>
      <c r="P440" s="3"/>
      <c r="AG440" s="4"/>
    </row>
    <row r="441" s="2" customFormat="true" ht="12.8" hidden="false" customHeight="false" outlineLevel="0" collapsed="false">
      <c r="A441" s="1"/>
      <c r="H441" s="3"/>
      <c r="J441" s="3"/>
      <c r="L441" s="3"/>
      <c r="N441" s="3"/>
      <c r="P441" s="3"/>
      <c r="AG441" s="4"/>
    </row>
    <row r="442" s="2" customFormat="true" ht="12.8" hidden="false" customHeight="false" outlineLevel="0" collapsed="false">
      <c r="A442" s="1"/>
      <c r="H442" s="3"/>
      <c r="J442" s="3"/>
      <c r="L442" s="3"/>
      <c r="N442" s="3"/>
      <c r="P442" s="3"/>
      <c r="AG442" s="4"/>
    </row>
    <row r="443" s="2" customFormat="true" ht="12.8" hidden="false" customHeight="false" outlineLevel="0" collapsed="false">
      <c r="A443" s="1"/>
      <c r="H443" s="3"/>
      <c r="J443" s="3"/>
      <c r="L443" s="3"/>
      <c r="N443" s="3"/>
      <c r="P443" s="3"/>
      <c r="AG443" s="4"/>
    </row>
    <row r="444" s="2" customFormat="true" ht="12.8" hidden="false" customHeight="false" outlineLevel="0" collapsed="false">
      <c r="A444" s="1"/>
      <c r="H444" s="3"/>
      <c r="J444" s="3"/>
      <c r="L444" s="3"/>
      <c r="N444" s="3"/>
      <c r="P444" s="3"/>
      <c r="AG444" s="4"/>
    </row>
    <row r="445" s="2" customFormat="true" ht="12.8" hidden="false" customHeight="false" outlineLevel="0" collapsed="false">
      <c r="A445" s="1"/>
      <c r="H445" s="3"/>
      <c r="J445" s="3"/>
      <c r="L445" s="3"/>
      <c r="N445" s="3"/>
      <c r="P445" s="3"/>
      <c r="AG445" s="4"/>
    </row>
    <row r="446" s="2" customFormat="true" ht="12.8" hidden="false" customHeight="false" outlineLevel="0" collapsed="false">
      <c r="A446" s="1"/>
      <c r="H446" s="3"/>
      <c r="J446" s="3"/>
      <c r="L446" s="3"/>
      <c r="N446" s="3"/>
      <c r="P446" s="3"/>
      <c r="AG446" s="4"/>
    </row>
    <row r="447" s="2" customFormat="true" ht="12.8" hidden="false" customHeight="false" outlineLevel="0" collapsed="false">
      <c r="A447" s="1"/>
      <c r="H447" s="3"/>
      <c r="J447" s="3"/>
      <c r="L447" s="3"/>
      <c r="N447" s="3"/>
      <c r="P447" s="3"/>
      <c r="AG447" s="4"/>
    </row>
    <row r="448" s="2" customFormat="true" ht="12.8" hidden="false" customHeight="false" outlineLevel="0" collapsed="false">
      <c r="A448" s="1"/>
      <c r="H448" s="3"/>
      <c r="J448" s="3"/>
      <c r="L448" s="3"/>
      <c r="N448" s="3"/>
      <c r="P448" s="3"/>
      <c r="AG448" s="4"/>
    </row>
    <row r="449" s="2" customFormat="true" ht="12.8" hidden="false" customHeight="false" outlineLevel="0" collapsed="false">
      <c r="A449" s="1"/>
      <c r="H449" s="3"/>
      <c r="J449" s="3"/>
      <c r="L449" s="3"/>
      <c r="N449" s="3"/>
      <c r="P449" s="3"/>
      <c r="AG449" s="4"/>
    </row>
    <row r="450" s="2" customFormat="true" ht="12.8" hidden="false" customHeight="false" outlineLevel="0" collapsed="false">
      <c r="A450" s="1"/>
      <c r="H450" s="3"/>
      <c r="J450" s="3"/>
      <c r="L450" s="3"/>
      <c r="N450" s="3"/>
      <c r="P450" s="3"/>
      <c r="AG450" s="4"/>
    </row>
    <row r="451" s="2" customFormat="true" ht="12.8" hidden="false" customHeight="false" outlineLevel="0" collapsed="false">
      <c r="A451" s="1"/>
      <c r="H451" s="3"/>
      <c r="J451" s="3"/>
      <c r="L451" s="3"/>
      <c r="N451" s="3"/>
      <c r="P451" s="3"/>
      <c r="AG451" s="4"/>
    </row>
    <row r="452" s="2" customFormat="true" ht="12.8" hidden="false" customHeight="false" outlineLevel="0" collapsed="false">
      <c r="A452" s="1"/>
      <c r="H452" s="3"/>
      <c r="J452" s="3"/>
      <c r="L452" s="3"/>
      <c r="N452" s="3"/>
      <c r="P452" s="3"/>
      <c r="AG452" s="4"/>
    </row>
    <row r="453" s="2" customFormat="true" ht="12.8" hidden="false" customHeight="false" outlineLevel="0" collapsed="false">
      <c r="A453" s="1"/>
      <c r="H453" s="3"/>
      <c r="J453" s="3"/>
      <c r="L453" s="3"/>
      <c r="N453" s="3"/>
      <c r="P453" s="3"/>
      <c r="AG453" s="4"/>
    </row>
    <row r="454" s="2" customFormat="true" ht="12.8" hidden="false" customHeight="false" outlineLevel="0" collapsed="false">
      <c r="A454" s="1"/>
      <c r="H454" s="3"/>
      <c r="J454" s="3"/>
      <c r="L454" s="3"/>
      <c r="N454" s="3"/>
      <c r="P454" s="3"/>
      <c r="AG454" s="4"/>
    </row>
    <row r="455" s="2" customFormat="true" ht="12.8" hidden="false" customHeight="false" outlineLevel="0" collapsed="false">
      <c r="A455" s="1"/>
      <c r="H455" s="3"/>
      <c r="J455" s="3"/>
      <c r="L455" s="3"/>
      <c r="N455" s="3"/>
      <c r="P455" s="3"/>
      <c r="AG455" s="4"/>
    </row>
    <row r="456" s="2" customFormat="true" ht="12.8" hidden="false" customHeight="false" outlineLevel="0" collapsed="false">
      <c r="A456" s="1"/>
      <c r="H456" s="3"/>
      <c r="J456" s="3"/>
      <c r="L456" s="3"/>
      <c r="N456" s="3"/>
      <c r="P456" s="3"/>
      <c r="AG456" s="4"/>
    </row>
    <row r="457" s="2" customFormat="true" ht="12.8" hidden="false" customHeight="false" outlineLevel="0" collapsed="false">
      <c r="A457" s="1"/>
      <c r="H457" s="3"/>
      <c r="J457" s="3"/>
      <c r="L457" s="3"/>
      <c r="N457" s="3"/>
      <c r="P457" s="3"/>
      <c r="AG457" s="4"/>
    </row>
    <row r="458" s="2" customFormat="true" ht="12.8" hidden="false" customHeight="false" outlineLevel="0" collapsed="false">
      <c r="A458" s="1"/>
      <c r="H458" s="3"/>
      <c r="J458" s="3"/>
      <c r="L458" s="3"/>
      <c r="N458" s="3"/>
      <c r="P458" s="3"/>
      <c r="AG458" s="4"/>
    </row>
    <row r="459" s="2" customFormat="true" ht="12.8" hidden="false" customHeight="false" outlineLevel="0" collapsed="false">
      <c r="A459" s="1"/>
      <c r="H459" s="3"/>
      <c r="J459" s="3"/>
      <c r="L459" s="3"/>
      <c r="N459" s="3"/>
      <c r="P459" s="3"/>
      <c r="AG459" s="4"/>
    </row>
    <row r="460" s="2" customFormat="true" ht="12.8" hidden="false" customHeight="false" outlineLevel="0" collapsed="false">
      <c r="A460" s="1"/>
      <c r="H460" s="3"/>
      <c r="J460" s="3"/>
      <c r="L460" s="3"/>
      <c r="N460" s="3"/>
      <c r="P460" s="3"/>
      <c r="AG460" s="4"/>
    </row>
    <row r="461" s="2" customFormat="true" ht="12.8" hidden="false" customHeight="false" outlineLevel="0" collapsed="false">
      <c r="A461" s="1"/>
      <c r="H461" s="3"/>
      <c r="J461" s="3"/>
      <c r="L461" s="3"/>
      <c r="N461" s="3"/>
      <c r="P461" s="3"/>
      <c r="AG461" s="4"/>
    </row>
    <row r="462" s="2" customFormat="true" ht="12.8" hidden="false" customHeight="false" outlineLevel="0" collapsed="false">
      <c r="A462" s="1"/>
      <c r="H462" s="3"/>
      <c r="J462" s="3"/>
      <c r="L462" s="3"/>
      <c r="N462" s="3"/>
      <c r="P462" s="3"/>
      <c r="AG462" s="4"/>
    </row>
    <row r="463" s="2" customFormat="true" ht="12.8" hidden="false" customHeight="false" outlineLevel="0" collapsed="false">
      <c r="A463" s="1"/>
      <c r="H463" s="3"/>
      <c r="J463" s="3"/>
      <c r="L463" s="3"/>
      <c r="N463" s="3"/>
      <c r="P463" s="3"/>
      <c r="AG463" s="4"/>
    </row>
    <row r="464" s="2" customFormat="true" ht="12.8" hidden="false" customHeight="false" outlineLevel="0" collapsed="false">
      <c r="A464" s="1"/>
      <c r="H464" s="3"/>
      <c r="J464" s="3"/>
      <c r="L464" s="3"/>
      <c r="N464" s="3"/>
      <c r="P464" s="3"/>
      <c r="AG464" s="4"/>
    </row>
    <row r="465" s="2" customFormat="true" ht="12.8" hidden="false" customHeight="false" outlineLevel="0" collapsed="false">
      <c r="A465" s="1"/>
      <c r="H465" s="3"/>
      <c r="J465" s="3"/>
      <c r="L465" s="3"/>
      <c r="N465" s="3"/>
      <c r="P465" s="3"/>
      <c r="AG465" s="4"/>
    </row>
    <row r="466" s="2" customFormat="true" ht="12.8" hidden="false" customHeight="false" outlineLevel="0" collapsed="false">
      <c r="A466" s="1"/>
      <c r="H466" s="3"/>
      <c r="J466" s="3"/>
      <c r="L466" s="3"/>
      <c r="N466" s="3"/>
      <c r="P466" s="3"/>
      <c r="AG466" s="4"/>
    </row>
    <row r="467" s="2" customFormat="true" ht="12.8" hidden="false" customHeight="false" outlineLevel="0" collapsed="false">
      <c r="A467" s="1"/>
      <c r="H467" s="3"/>
      <c r="J467" s="3"/>
      <c r="L467" s="3"/>
      <c r="N467" s="3"/>
      <c r="P467" s="3"/>
      <c r="AG467" s="4"/>
    </row>
    <row r="468" s="2" customFormat="true" ht="12.8" hidden="false" customHeight="false" outlineLevel="0" collapsed="false">
      <c r="A468" s="1"/>
      <c r="H468" s="3"/>
      <c r="J468" s="3"/>
      <c r="L468" s="3"/>
      <c r="N468" s="3"/>
      <c r="P468" s="3"/>
      <c r="AG468" s="4"/>
    </row>
    <row r="469" s="2" customFormat="true" ht="12.8" hidden="false" customHeight="false" outlineLevel="0" collapsed="false">
      <c r="A469" s="1"/>
      <c r="H469" s="3"/>
      <c r="J469" s="3"/>
      <c r="L469" s="3"/>
      <c r="N469" s="3"/>
      <c r="P469" s="3"/>
      <c r="AG469" s="4"/>
    </row>
    <row r="470" s="2" customFormat="true" ht="12.8" hidden="false" customHeight="false" outlineLevel="0" collapsed="false">
      <c r="A470" s="1"/>
      <c r="H470" s="3"/>
      <c r="J470" s="3"/>
      <c r="L470" s="3"/>
      <c r="N470" s="3"/>
      <c r="P470" s="3"/>
      <c r="AG470" s="4"/>
    </row>
    <row r="471" s="2" customFormat="true" ht="12.8" hidden="false" customHeight="false" outlineLevel="0" collapsed="false">
      <c r="A471" s="1"/>
      <c r="H471" s="3"/>
      <c r="J471" s="3"/>
      <c r="L471" s="3"/>
      <c r="N471" s="3"/>
      <c r="P471" s="3"/>
      <c r="AG471" s="4"/>
    </row>
    <row r="472" s="2" customFormat="true" ht="12.8" hidden="false" customHeight="false" outlineLevel="0" collapsed="false">
      <c r="A472" s="1"/>
      <c r="H472" s="3"/>
      <c r="J472" s="3"/>
      <c r="L472" s="3"/>
      <c r="N472" s="3"/>
      <c r="P472" s="3"/>
      <c r="AG472" s="4"/>
    </row>
    <row r="473" s="2" customFormat="true" ht="12.8" hidden="false" customHeight="false" outlineLevel="0" collapsed="false">
      <c r="A473" s="1"/>
      <c r="H473" s="3"/>
      <c r="J473" s="3"/>
      <c r="L473" s="3"/>
      <c r="N473" s="3"/>
      <c r="P473" s="3"/>
      <c r="AG473" s="4"/>
    </row>
    <row r="474" s="2" customFormat="true" ht="12.8" hidden="false" customHeight="false" outlineLevel="0" collapsed="false">
      <c r="A474" s="1"/>
      <c r="H474" s="3"/>
      <c r="J474" s="3"/>
      <c r="L474" s="3"/>
      <c r="N474" s="3"/>
      <c r="P474" s="3"/>
      <c r="AG474" s="4"/>
    </row>
    <row r="475" s="2" customFormat="true" ht="12.8" hidden="false" customHeight="false" outlineLevel="0" collapsed="false">
      <c r="A475" s="1"/>
      <c r="H475" s="3"/>
      <c r="J475" s="3"/>
      <c r="L475" s="3"/>
      <c r="N475" s="3"/>
      <c r="P475" s="3"/>
      <c r="AG475" s="4"/>
    </row>
    <row r="476" s="2" customFormat="true" ht="12.8" hidden="false" customHeight="false" outlineLevel="0" collapsed="false">
      <c r="A476" s="1"/>
      <c r="H476" s="3"/>
      <c r="J476" s="3"/>
      <c r="L476" s="3"/>
      <c r="N476" s="3"/>
      <c r="P476" s="3"/>
      <c r="AG476" s="4"/>
    </row>
    <row r="477" s="2" customFormat="true" ht="12.8" hidden="false" customHeight="false" outlineLevel="0" collapsed="false">
      <c r="A477" s="1"/>
      <c r="H477" s="3"/>
      <c r="J477" s="3"/>
      <c r="L477" s="3"/>
      <c r="N477" s="3"/>
      <c r="P477" s="3"/>
      <c r="AG477" s="4"/>
    </row>
    <row r="478" s="2" customFormat="true" ht="12.8" hidden="false" customHeight="false" outlineLevel="0" collapsed="false">
      <c r="A478" s="1"/>
      <c r="H478" s="3"/>
      <c r="J478" s="3"/>
      <c r="L478" s="3"/>
      <c r="N478" s="3"/>
      <c r="P478" s="3"/>
      <c r="AG478" s="4"/>
    </row>
    <row r="479" s="2" customFormat="true" ht="12.8" hidden="false" customHeight="false" outlineLevel="0" collapsed="false">
      <c r="A479" s="1"/>
      <c r="H479" s="3"/>
      <c r="J479" s="3"/>
      <c r="L479" s="3"/>
      <c r="N479" s="3"/>
      <c r="P479" s="3"/>
      <c r="AG479" s="4"/>
    </row>
    <row r="480" s="2" customFormat="true" ht="12.8" hidden="false" customHeight="false" outlineLevel="0" collapsed="false">
      <c r="A480" s="1"/>
      <c r="H480" s="3"/>
      <c r="J480" s="3"/>
      <c r="L480" s="3"/>
      <c r="N480" s="3"/>
      <c r="P480" s="3"/>
      <c r="AG480" s="4"/>
    </row>
    <row r="481" s="2" customFormat="true" ht="12.8" hidden="false" customHeight="false" outlineLevel="0" collapsed="false">
      <c r="A481" s="1"/>
      <c r="H481" s="3"/>
      <c r="J481" s="3"/>
      <c r="L481" s="3"/>
      <c r="N481" s="3"/>
      <c r="P481" s="3"/>
      <c r="AG481" s="4"/>
    </row>
    <row r="482" s="2" customFormat="true" ht="12.8" hidden="false" customHeight="false" outlineLevel="0" collapsed="false">
      <c r="A482" s="1"/>
      <c r="H482" s="3"/>
      <c r="J482" s="3"/>
      <c r="L482" s="3"/>
      <c r="N482" s="3"/>
      <c r="P482" s="3"/>
      <c r="AG482" s="4"/>
    </row>
    <row r="483" s="2" customFormat="true" ht="12.8" hidden="false" customHeight="false" outlineLevel="0" collapsed="false">
      <c r="A483" s="1"/>
      <c r="H483" s="3"/>
      <c r="J483" s="3"/>
      <c r="L483" s="3"/>
      <c r="N483" s="3"/>
      <c r="P483" s="3"/>
      <c r="AG483" s="4"/>
    </row>
    <row r="484" s="2" customFormat="true" ht="12.8" hidden="false" customHeight="false" outlineLevel="0" collapsed="false">
      <c r="A484" s="1"/>
      <c r="H484" s="3"/>
      <c r="J484" s="3"/>
      <c r="L484" s="3"/>
      <c r="N484" s="3"/>
      <c r="P484" s="3"/>
      <c r="AG484" s="4"/>
    </row>
    <row r="485" s="2" customFormat="true" ht="12.8" hidden="false" customHeight="false" outlineLevel="0" collapsed="false">
      <c r="A485" s="1"/>
      <c r="H485" s="3"/>
      <c r="J485" s="3"/>
      <c r="L485" s="3"/>
      <c r="N485" s="3"/>
      <c r="P485" s="3"/>
      <c r="AG485" s="4"/>
    </row>
    <row r="486" s="2" customFormat="true" ht="12.8" hidden="false" customHeight="false" outlineLevel="0" collapsed="false">
      <c r="A486" s="1"/>
      <c r="H486" s="3"/>
      <c r="J486" s="3"/>
      <c r="L486" s="3"/>
      <c r="N486" s="3"/>
      <c r="P486" s="3"/>
      <c r="AG486" s="4"/>
    </row>
    <row r="487" s="2" customFormat="true" ht="12.8" hidden="false" customHeight="false" outlineLevel="0" collapsed="false">
      <c r="A487" s="1"/>
      <c r="H487" s="3"/>
      <c r="J487" s="3"/>
      <c r="L487" s="3"/>
      <c r="N487" s="3"/>
      <c r="P487" s="3"/>
      <c r="AG487" s="4"/>
    </row>
    <row r="488" s="2" customFormat="true" ht="12.8" hidden="false" customHeight="false" outlineLevel="0" collapsed="false">
      <c r="A488" s="1"/>
      <c r="H488" s="3"/>
      <c r="J488" s="3"/>
      <c r="L488" s="3"/>
      <c r="N488" s="3"/>
      <c r="P488" s="3"/>
      <c r="AG488" s="4"/>
    </row>
    <row r="489" s="2" customFormat="true" ht="12.8" hidden="false" customHeight="false" outlineLevel="0" collapsed="false">
      <c r="A489" s="1"/>
      <c r="H489" s="3"/>
      <c r="J489" s="3"/>
      <c r="L489" s="3"/>
      <c r="N489" s="3"/>
      <c r="P489" s="3"/>
      <c r="AG489" s="4"/>
    </row>
    <row r="490" s="2" customFormat="true" ht="12.8" hidden="false" customHeight="false" outlineLevel="0" collapsed="false">
      <c r="A490" s="1"/>
      <c r="H490" s="3"/>
      <c r="J490" s="3"/>
      <c r="L490" s="3"/>
      <c r="N490" s="3"/>
      <c r="P490" s="3"/>
      <c r="AG490" s="4"/>
    </row>
    <row r="491" s="2" customFormat="true" ht="12.8" hidden="false" customHeight="false" outlineLevel="0" collapsed="false">
      <c r="A491" s="1"/>
      <c r="H491" s="3"/>
      <c r="J491" s="3"/>
      <c r="L491" s="3"/>
      <c r="N491" s="3"/>
      <c r="P491" s="3"/>
      <c r="AG491" s="4"/>
    </row>
    <row r="492" s="2" customFormat="true" ht="12.8" hidden="false" customHeight="false" outlineLevel="0" collapsed="false">
      <c r="A492" s="1"/>
      <c r="H492" s="3"/>
      <c r="J492" s="3"/>
      <c r="L492" s="3"/>
      <c r="N492" s="3"/>
      <c r="P492" s="3"/>
      <c r="AG492" s="4"/>
    </row>
    <row r="493" s="2" customFormat="true" ht="12.8" hidden="false" customHeight="false" outlineLevel="0" collapsed="false">
      <c r="A493" s="1"/>
      <c r="H493" s="3"/>
      <c r="J493" s="3"/>
      <c r="L493" s="3"/>
      <c r="N493" s="3"/>
      <c r="P493" s="3"/>
      <c r="AG493" s="4"/>
    </row>
    <row r="494" s="2" customFormat="true" ht="12.8" hidden="false" customHeight="false" outlineLevel="0" collapsed="false">
      <c r="A494" s="1"/>
      <c r="H494" s="3"/>
      <c r="J494" s="3"/>
      <c r="L494" s="3"/>
      <c r="N494" s="3"/>
      <c r="P494" s="3"/>
      <c r="AG494" s="4"/>
    </row>
    <row r="495" s="2" customFormat="true" ht="12.8" hidden="false" customHeight="false" outlineLevel="0" collapsed="false">
      <c r="A495" s="1"/>
      <c r="H495" s="3"/>
      <c r="J495" s="3"/>
      <c r="L495" s="3"/>
      <c r="N495" s="3"/>
      <c r="P495" s="3"/>
      <c r="AG495" s="4"/>
    </row>
    <row r="496" s="2" customFormat="true" ht="12.8" hidden="false" customHeight="false" outlineLevel="0" collapsed="false">
      <c r="A496" s="1"/>
      <c r="H496" s="3"/>
      <c r="J496" s="3"/>
      <c r="L496" s="3"/>
      <c r="N496" s="3"/>
      <c r="P496" s="3"/>
      <c r="AG496" s="4"/>
    </row>
    <row r="497" s="2" customFormat="true" ht="12.8" hidden="false" customHeight="false" outlineLevel="0" collapsed="false">
      <c r="A497" s="1"/>
      <c r="H497" s="3"/>
      <c r="J497" s="3"/>
      <c r="L497" s="3"/>
      <c r="N497" s="3"/>
      <c r="P497" s="3"/>
      <c r="AG497" s="4"/>
    </row>
    <row r="498" s="2" customFormat="true" ht="12.8" hidden="false" customHeight="false" outlineLevel="0" collapsed="false">
      <c r="A498" s="1"/>
      <c r="H498" s="3"/>
      <c r="J498" s="3"/>
      <c r="L498" s="3"/>
      <c r="N498" s="3"/>
      <c r="P498" s="3"/>
      <c r="AG498" s="4"/>
    </row>
    <row r="499" s="2" customFormat="true" ht="12.8" hidden="false" customHeight="false" outlineLevel="0" collapsed="false">
      <c r="A499" s="1"/>
      <c r="H499" s="3"/>
      <c r="J499" s="3"/>
      <c r="L499" s="3"/>
      <c r="N499" s="3"/>
      <c r="P499" s="3"/>
      <c r="AG499" s="4"/>
    </row>
    <row r="500" s="2" customFormat="true" ht="12.8" hidden="false" customHeight="false" outlineLevel="0" collapsed="false">
      <c r="A500" s="1"/>
      <c r="H500" s="3"/>
      <c r="J500" s="3"/>
      <c r="L500" s="3"/>
      <c r="N500" s="3"/>
      <c r="P500" s="3"/>
      <c r="AG500" s="4"/>
    </row>
    <row r="501" s="2" customFormat="true" ht="12.8" hidden="false" customHeight="false" outlineLevel="0" collapsed="false">
      <c r="A501" s="1"/>
      <c r="H501" s="3"/>
      <c r="J501" s="3"/>
      <c r="L501" s="3"/>
      <c r="N501" s="3"/>
      <c r="P501" s="3"/>
      <c r="AG501" s="4"/>
    </row>
    <row r="502" s="2" customFormat="true" ht="12.8" hidden="false" customHeight="false" outlineLevel="0" collapsed="false">
      <c r="A502" s="1"/>
      <c r="H502" s="3"/>
      <c r="J502" s="3"/>
      <c r="L502" s="3"/>
      <c r="N502" s="3"/>
      <c r="P502" s="3"/>
      <c r="AG502" s="4"/>
    </row>
    <row r="503" s="2" customFormat="true" ht="12.8" hidden="false" customHeight="false" outlineLevel="0" collapsed="false">
      <c r="A503" s="1"/>
      <c r="H503" s="3"/>
      <c r="J503" s="3"/>
      <c r="L503" s="3"/>
      <c r="N503" s="3"/>
      <c r="P503" s="3"/>
      <c r="AG503" s="4"/>
    </row>
    <row r="504" s="2" customFormat="true" ht="12.8" hidden="false" customHeight="false" outlineLevel="0" collapsed="false">
      <c r="A504" s="1"/>
      <c r="H504" s="3"/>
      <c r="J504" s="3"/>
      <c r="L504" s="3"/>
      <c r="N504" s="3"/>
      <c r="P504" s="3"/>
      <c r="AG504" s="4"/>
    </row>
    <row r="505" s="2" customFormat="true" ht="12.8" hidden="false" customHeight="false" outlineLevel="0" collapsed="false">
      <c r="A505" s="1"/>
      <c r="H505" s="3"/>
      <c r="J505" s="3"/>
      <c r="L505" s="3"/>
      <c r="N505" s="3"/>
      <c r="P505" s="3"/>
      <c r="AG505" s="4"/>
    </row>
    <row r="506" s="2" customFormat="true" ht="12.8" hidden="false" customHeight="false" outlineLevel="0" collapsed="false">
      <c r="A506" s="1"/>
      <c r="H506" s="3"/>
      <c r="J506" s="3"/>
      <c r="L506" s="3"/>
      <c r="N506" s="3"/>
      <c r="P506" s="3"/>
      <c r="AG506" s="4"/>
    </row>
    <row r="507" s="2" customFormat="true" ht="12.8" hidden="false" customHeight="false" outlineLevel="0" collapsed="false">
      <c r="A507" s="1"/>
      <c r="H507" s="3"/>
      <c r="J507" s="3"/>
      <c r="L507" s="3"/>
      <c r="N507" s="3"/>
      <c r="P507" s="3"/>
      <c r="AG507" s="4"/>
    </row>
    <row r="508" s="2" customFormat="true" ht="12.8" hidden="false" customHeight="false" outlineLevel="0" collapsed="false">
      <c r="A508" s="1"/>
      <c r="H508" s="3"/>
      <c r="J508" s="3"/>
      <c r="L508" s="3"/>
      <c r="N508" s="3"/>
      <c r="P508" s="3"/>
      <c r="AG508" s="4"/>
    </row>
    <row r="509" s="2" customFormat="true" ht="12.8" hidden="false" customHeight="false" outlineLevel="0" collapsed="false">
      <c r="A509" s="1"/>
      <c r="H509" s="3"/>
      <c r="J509" s="3"/>
      <c r="L509" s="3"/>
      <c r="N509" s="3"/>
      <c r="P509" s="3"/>
      <c r="AG509" s="4"/>
    </row>
    <row r="510" s="2" customFormat="true" ht="12.8" hidden="false" customHeight="false" outlineLevel="0" collapsed="false">
      <c r="A510" s="1"/>
      <c r="H510" s="3"/>
      <c r="J510" s="3"/>
      <c r="L510" s="3"/>
      <c r="N510" s="3"/>
      <c r="P510" s="3"/>
      <c r="AG510" s="4"/>
    </row>
    <row r="511" s="2" customFormat="true" ht="12.8" hidden="false" customHeight="false" outlineLevel="0" collapsed="false">
      <c r="A511" s="1"/>
      <c r="H511" s="3"/>
      <c r="J511" s="3"/>
      <c r="L511" s="3"/>
      <c r="N511" s="3"/>
      <c r="P511" s="3"/>
      <c r="AG511" s="4"/>
    </row>
    <row r="512" s="2" customFormat="true" ht="12.8" hidden="false" customHeight="false" outlineLevel="0" collapsed="false">
      <c r="A512" s="1"/>
      <c r="H512" s="3"/>
      <c r="J512" s="3"/>
      <c r="L512" s="3"/>
      <c r="N512" s="3"/>
      <c r="P512" s="3"/>
      <c r="AG512" s="4"/>
    </row>
    <row r="513" s="2" customFormat="true" ht="12.8" hidden="false" customHeight="false" outlineLevel="0" collapsed="false">
      <c r="A513" s="1"/>
      <c r="H513" s="3"/>
      <c r="J513" s="3"/>
      <c r="L513" s="3"/>
      <c r="N513" s="3"/>
      <c r="P513" s="3"/>
      <c r="AG513" s="4"/>
    </row>
    <row r="514" s="2" customFormat="true" ht="12.8" hidden="false" customHeight="false" outlineLevel="0" collapsed="false">
      <c r="A514" s="1"/>
      <c r="H514" s="3"/>
      <c r="J514" s="3"/>
      <c r="L514" s="3"/>
      <c r="N514" s="3"/>
      <c r="P514" s="3"/>
      <c r="AG514" s="4"/>
    </row>
    <row r="515" s="2" customFormat="true" ht="12.8" hidden="false" customHeight="false" outlineLevel="0" collapsed="false">
      <c r="A515" s="1"/>
      <c r="H515" s="3"/>
      <c r="J515" s="3"/>
      <c r="L515" s="3"/>
      <c r="N515" s="3"/>
      <c r="P515" s="3"/>
      <c r="AG515" s="4"/>
    </row>
    <row r="516" s="2" customFormat="true" ht="12.8" hidden="false" customHeight="false" outlineLevel="0" collapsed="false">
      <c r="A516" s="1"/>
      <c r="H516" s="3"/>
      <c r="J516" s="3"/>
      <c r="L516" s="3"/>
      <c r="N516" s="3"/>
      <c r="P516" s="3"/>
      <c r="AG516" s="4"/>
    </row>
    <row r="517" s="2" customFormat="true" ht="12.8" hidden="false" customHeight="false" outlineLevel="0" collapsed="false">
      <c r="A517" s="1"/>
      <c r="H517" s="3"/>
      <c r="J517" s="3"/>
      <c r="L517" s="3"/>
      <c r="N517" s="3"/>
      <c r="P517" s="3"/>
      <c r="AG517" s="4"/>
    </row>
    <row r="518" s="2" customFormat="true" ht="12.8" hidden="false" customHeight="false" outlineLevel="0" collapsed="false">
      <c r="A518" s="1"/>
      <c r="H518" s="3"/>
      <c r="J518" s="3"/>
      <c r="L518" s="3"/>
      <c r="N518" s="3"/>
      <c r="P518" s="3"/>
      <c r="AG518" s="4"/>
    </row>
    <row r="519" s="2" customFormat="true" ht="12.8" hidden="false" customHeight="false" outlineLevel="0" collapsed="false">
      <c r="A519" s="1"/>
      <c r="H519" s="3"/>
      <c r="J519" s="3"/>
      <c r="L519" s="3"/>
      <c r="N519" s="3"/>
      <c r="P519" s="3"/>
      <c r="AG519" s="4"/>
    </row>
    <row r="520" s="2" customFormat="true" ht="12.8" hidden="false" customHeight="false" outlineLevel="0" collapsed="false">
      <c r="A520" s="1"/>
      <c r="H520" s="3"/>
      <c r="J520" s="3"/>
      <c r="L520" s="3"/>
      <c r="N520" s="3"/>
      <c r="P520" s="3"/>
      <c r="AG520" s="4"/>
    </row>
    <row r="521" s="2" customFormat="true" ht="12.8" hidden="false" customHeight="false" outlineLevel="0" collapsed="false">
      <c r="A521" s="1"/>
      <c r="H521" s="3"/>
      <c r="J521" s="3"/>
      <c r="L521" s="3"/>
      <c r="N521" s="3"/>
      <c r="P521" s="3"/>
      <c r="AG521" s="4"/>
    </row>
    <row r="522" s="2" customFormat="true" ht="12.8" hidden="false" customHeight="false" outlineLevel="0" collapsed="false">
      <c r="A522" s="1"/>
      <c r="H522" s="3"/>
      <c r="J522" s="3"/>
      <c r="L522" s="3"/>
      <c r="N522" s="3"/>
      <c r="P522" s="3"/>
      <c r="AG522" s="4"/>
    </row>
    <row r="523" s="2" customFormat="true" ht="12.8" hidden="false" customHeight="false" outlineLevel="0" collapsed="false">
      <c r="A523" s="1"/>
      <c r="H523" s="3"/>
      <c r="J523" s="3"/>
      <c r="L523" s="3"/>
      <c r="N523" s="3"/>
      <c r="P523" s="3"/>
      <c r="AG523" s="4"/>
    </row>
    <row r="524" s="2" customFormat="true" ht="12.8" hidden="false" customHeight="false" outlineLevel="0" collapsed="false">
      <c r="A524" s="1"/>
      <c r="H524" s="3"/>
      <c r="J524" s="3"/>
      <c r="L524" s="3"/>
      <c r="N524" s="3"/>
      <c r="P524" s="3"/>
      <c r="AG524" s="4"/>
    </row>
    <row r="525" s="2" customFormat="true" ht="12.8" hidden="false" customHeight="false" outlineLevel="0" collapsed="false">
      <c r="A525" s="1"/>
      <c r="H525" s="3"/>
      <c r="J525" s="3"/>
      <c r="L525" s="3"/>
      <c r="N525" s="3"/>
      <c r="P525" s="3"/>
      <c r="AG525" s="4"/>
    </row>
    <row r="526" s="2" customFormat="true" ht="12.8" hidden="false" customHeight="false" outlineLevel="0" collapsed="false">
      <c r="A526" s="1"/>
      <c r="H526" s="3"/>
      <c r="J526" s="3"/>
      <c r="L526" s="3"/>
      <c r="N526" s="3"/>
      <c r="P526" s="3"/>
      <c r="AG526" s="4"/>
    </row>
    <row r="527" s="2" customFormat="true" ht="12.8" hidden="false" customHeight="false" outlineLevel="0" collapsed="false">
      <c r="A527" s="1"/>
      <c r="H527" s="3"/>
      <c r="J527" s="3"/>
      <c r="L527" s="3"/>
      <c r="N527" s="3"/>
      <c r="P527" s="3"/>
      <c r="AG527" s="4"/>
    </row>
    <row r="528" s="2" customFormat="true" ht="12.8" hidden="false" customHeight="false" outlineLevel="0" collapsed="false">
      <c r="A528" s="1"/>
      <c r="H528" s="3"/>
      <c r="J528" s="3"/>
      <c r="L528" s="3"/>
      <c r="N528" s="3"/>
      <c r="P528" s="3"/>
      <c r="AG528" s="4"/>
    </row>
    <row r="529" s="2" customFormat="true" ht="12.8" hidden="false" customHeight="false" outlineLevel="0" collapsed="false">
      <c r="A529" s="1"/>
      <c r="H529" s="3"/>
      <c r="J529" s="3"/>
      <c r="L529" s="3"/>
      <c r="N529" s="3"/>
      <c r="P529" s="3"/>
      <c r="AG529" s="4"/>
    </row>
    <row r="530" s="2" customFormat="true" ht="12.8" hidden="false" customHeight="false" outlineLevel="0" collapsed="false">
      <c r="A530" s="1"/>
      <c r="H530" s="3"/>
      <c r="J530" s="3"/>
      <c r="L530" s="3"/>
      <c r="N530" s="3"/>
      <c r="P530" s="3"/>
      <c r="AG530" s="4"/>
    </row>
    <row r="531" s="2" customFormat="true" ht="12.8" hidden="false" customHeight="false" outlineLevel="0" collapsed="false">
      <c r="A531" s="1"/>
      <c r="H531" s="3"/>
      <c r="J531" s="3"/>
      <c r="L531" s="3"/>
      <c r="N531" s="3"/>
      <c r="P531" s="3"/>
      <c r="AG531" s="4"/>
    </row>
    <row r="532" s="2" customFormat="true" ht="12.8" hidden="false" customHeight="false" outlineLevel="0" collapsed="false">
      <c r="A532" s="1"/>
      <c r="H532" s="3"/>
      <c r="J532" s="3"/>
      <c r="L532" s="3"/>
      <c r="N532" s="3"/>
      <c r="P532" s="3"/>
      <c r="AG532" s="4"/>
    </row>
    <row r="533" s="2" customFormat="true" ht="12.8" hidden="false" customHeight="false" outlineLevel="0" collapsed="false">
      <c r="A533" s="1"/>
      <c r="H533" s="3"/>
      <c r="J533" s="3"/>
      <c r="L533" s="3"/>
      <c r="N533" s="3"/>
      <c r="P533" s="3"/>
      <c r="AG533" s="4"/>
    </row>
    <row r="534" s="2" customFormat="true" ht="12.8" hidden="false" customHeight="false" outlineLevel="0" collapsed="false">
      <c r="A534" s="1"/>
      <c r="H534" s="3"/>
      <c r="J534" s="3"/>
      <c r="L534" s="3"/>
      <c r="N534" s="3"/>
      <c r="P534" s="3"/>
      <c r="AG534" s="4"/>
    </row>
    <row r="535" s="2" customFormat="true" ht="12.8" hidden="false" customHeight="false" outlineLevel="0" collapsed="false">
      <c r="A535" s="1"/>
      <c r="H535" s="3"/>
      <c r="J535" s="3"/>
      <c r="L535" s="3"/>
      <c r="N535" s="3"/>
      <c r="P535" s="3"/>
      <c r="AG535" s="4"/>
    </row>
    <row r="536" s="2" customFormat="true" ht="12.8" hidden="false" customHeight="false" outlineLevel="0" collapsed="false">
      <c r="A536" s="1"/>
      <c r="H536" s="3"/>
      <c r="J536" s="3"/>
      <c r="L536" s="3"/>
      <c r="N536" s="3"/>
      <c r="P536" s="3"/>
      <c r="AG536" s="4"/>
    </row>
    <row r="537" s="2" customFormat="true" ht="12.8" hidden="false" customHeight="false" outlineLevel="0" collapsed="false">
      <c r="A537" s="1"/>
      <c r="H537" s="3"/>
      <c r="J537" s="3"/>
      <c r="L537" s="3"/>
      <c r="N537" s="3"/>
      <c r="P537" s="3"/>
      <c r="AG537" s="4"/>
    </row>
    <row r="538" s="2" customFormat="true" ht="12.8" hidden="false" customHeight="false" outlineLevel="0" collapsed="false">
      <c r="A538" s="1"/>
      <c r="H538" s="3"/>
      <c r="J538" s="3"/>
      <c r="L538" s="3"/>
      <c r="N538" s="3"/>
      <c r="P538" s="3"/>
      <c r="AG538" s="4"/>
    </row>
    <row r="539" s="2" customFormat="true" ht="12.8" hidden="false" customHeight="false" outlineLevel="0" collapsed="false">
      <c r="A539" s="1"/>
      <c r="H539" s="3"/>
      <c r="J539" s="3"/>
      <c r="L539" s="3"/>
      <c r="N539" s="3"/>
      <c r="P539" s="3"/>
      <c r="AG539" s="4"/>
    </row>
    <row r="540" s="2" customFormat="true" ht="12.8" hidden="false" customHeight="false" outlineLevel="0" collapsed="false">
      <c r="A540" s="1"/>
      <c r="H540" s="3"/>
      <c r="J540" s="3"/>
      <c r="L540" s="3"/>
      <c r="N540" s="3"/>
      <c r="P540" s="3"/>
      <c r="AG540" s="4"/>
    </row>
    <row r="541" s="2" customFormat="true" ht="12.8" hidden="false" customHeight="false" outlineLevel="0" collapsed="false">
      <c r="A541" s="1"/>
      <c r="H541" s="3"/>
      <c r="J541" s="3"/>
      <c r="L541" s="3"/>
      <c r="N541" s="3"/>
      <c r="P541" s="3"/>
      <c r="AG541" s="4"/>
    </row>
    <row r="542" s="2" customFormat="true" ht="12.8" hidden="false" customHeight="false" outlineLevel="0" collapsed="false">
      <c r="A542" s="1"/>
      <c r="H542" s="3"/>
      <c r="J542" s="3"/>
      <c r="L542" s="3"/>
      <c r="N542" s="3"/>
      <c r="P542" s="3"/>
      <c r="AG542" s="4"/>
    </row>
    <row r="543" s="2" customFormat="true" ht="12.8" hidden="false" customHeight="false" outlineLevel="0" collapsed="false">
      <c r="A543" s="1"/>
      <c r="H543" s="3"/>
      <c r="J543" s="3"/>
      <c r="L543" s="3"/>
      <c r="N543" s="3"/>
      <c r="P543" s="3"/>
      <c r="AG543" s="4"/>
    </row>
    <row r="544" s="2" customFormat="true" ht="12.8" hidden="false" customHeight="false" outlineLevel="0" collapsed="false">
      <c r="A544" s="1"/>
      <c r="H544" s="3"/>
      <c r="J544" s="3"/>
      <c r="L544" s="3"/>
      <c r="N544" s="3"/>
      <c r="P544" s="3"/>
      <c r="AG544" s="4"/>
    </row>
    <row r="545" s="2" customFormat="true" ht="12.8" hidden="false" customHeight="false" outlineLevel="0" collapsed="false">
      <c r="A545" s="1"/>
      <c r="H545" s="3"/>
      <c r="J545" s="3"/>
      <c r="L545" s="3"/>
      <c r="N545" s="3"/>
      <c r="P545" s="3"/>
      <c r="AG545" s="4"/>
    </row>
    <row r="546" s="2" customFormat="true" ht="12.8" hidden="false" customHeight="false" outlineLevel="0" collapsed="false">
      <c r="A546" s="1"/>
      <c r="H546" s="3"/>
      <c r="J546" s="3"/>
      <c r="L546" s="3"/>
      <c r="N546" s="3"/>
      <c r="P546" s="3"/>
      <c r="AG546" s="4"/>
    </row>
    <row r="547" s="2" customFormat="true" ht="12.8" hidden="false" customHeight="false" outlineLevel="0" collapsed="false">
      <c r="A547" s="1"/>
      <c r="H547" s="3"/>
      <c r="J547" s="3"/>
      <c r="L547" s="3"/>
      <c r="N547" s="3"/>
      <c r="P547" s="3"/>
      <c r="AG547" s="4"/>
    </row>
    <row r="548" s="2" customFormat="true" ht="12.8" hidden="false" customHeight="false" outlineLevel="0" collapsed="false">
      <c r="A548" s="1"/>
      <c r="H548" s="3"/>
      <c r="J548" s="3"/>
      <c r="L548" s="3"/>
      <c r="N548" s="3"/>
      <c r="P548" s="3"/>
      <c r="AG548" s="4"/>
    </row>
    <row r="549" s="2" customFormat="true" ht="12.8" hidden="false" customHeight="false" outlineLevel="0" collapsed="false">
      <c r="A549" s="1"/>
      <c r="H549" s="3"/>
      <c r="J549" s="3"/>
      <c r="L549" s="3"/>
      <c r="N549" s="3"/>
      <c r="P549" s="3"/>
      <c r="AG549" s="4"/>
    </row>
    <row r="550" s="2" customFormat="true" ht="12.8" hidden="false" customHeight="false" outlineLevel="0" collapsed="false">
      <c r="A550" s="1"/>
      <c r="H550" s="3"/>
      <c r="J550" s="3"/>
      <c r="L550" s="3"/>
      <c r="N550" s="3"/>
      <c r="P550" s="3"/>
      <c r="AG550" s="4"/>
    </row>
    <row r="551" s="2" customFormat="true" ht="12.8" hidden="false" customHeight="false" outlineLevel="0" collapsed="false">
      <c r="A551" s="1"/>
      <c r="H551" s="3"/>
      <c r="J551" s="3"/>
      <c r="L551" s="3"/>
      <c r="N551" s="3"/>
      <c r="P551" s="3"/>
      <c r="AG551" s="4"/>
    </row>
    <row r="552" s="2" customFormat="true" ht="12.8" hidden="false" customHeight="false" outlineLevel="0" collapsed="false">
      <c r="A552" s="1"/>
      <c r="H552" s="3"/>
      <c r="J552" s="3"/>
      <c r="L552" s="3"/>
      <c r="N552" s="3"/>
      <c r="P552" s="3"/>
      <c r="AG552" s="4"/>
    </row>
    <row r="553" s="2" customFormat="true" ht="12.8" hidden="false" customHeight="false" outlineLevel="0" collapsed="false">
      <c r="A553" s="1"/>
      <c r="H553" s="3"/>
      <c r="J553" s="3"/>
      <c r="L553" s="3"/>
      <c r="N553" s="3"/>
      <c r="P553" s="3"/>
      <c r="AG553" s="4"/>
    </row>
    <row r="554" s="2" customFormat="true" ht="12.8" hidden="false" customHeight="false" outlineLevel="0" collapsed="false">
      <c r="A554" s="1"/>
      <c r="H554" s="3"/>
      <c r="J554" s="3"/>
      <c r="L554" s="3"/>
      <c r="N554" s="3"/>
      <c r="P554" s="3"/>
      <c r="AG554" s="4"/>
    </row>
    <row r="555" s="2" customFormat="true" ht="12.8" hidden="false" customHeight="false" outlineLevel="0" collapsed="false">
      <c r="A555" s="1"/>
      <c r="H555" s="3"/>
      <c r="J555" s="3"/>
      <c r="L555" s="3"/>
      <c r="N555" s="3"/>
      <c r="P555" s="3"/>
      <c r="AG555" s="4"/>
    </row>
    <row r="556" s="2" customFormat="true" ht="12.8" hidden="false" customHeight="false" outlineLevel="0" collapsed="false">
      <c r="A556" s="1"/>
      <c r="H556" s="3"/>
      <c r="J556" s="3"/>
      <c r="L556" s="3"/>
      <c r="N556" s="3"/>
      <c r="P556" s="3"/>
      <c r="AG556" s="4"/>
    </row>
    <row r="557" s="2" customFormat="true" ht="12.8" hidden="false" customHeight="false" outlineLevel="0" collapsed="false">
      <c r="A557" s="1"/>
      <c r="H557" s="3"/>
      <c r="J557" s="3"/>
      <c r="L557" s="3"/>
      <c r="N557" s="3"/>
      <c r="P557" s="3"/>
      <c r="AG557" s="4"/>
    </row>
    <row r="558" s="2" customFormat="true" ht="12.8" hidden="false" customHeight="false" outlineLevel="0" collapsed="false">
      <c r="A558" s="1"/>
      <c r="H558" s="3"/>
      <c r="J558" s="3"/>
      <c r="L558" s="3"/>
      <c r="N558" s="3"/>
      <c r="P558" s="3"/>
      <c r="AG558" s="4"/>
    </row>
    <row r="559" s="2" customFormat="true" ht="12.8" hidden="false" customHeight="false" outlineLevel="0" collapsed="false">
      <c r="A559" s="1"/>
      <c r="H559" s="3"/>
      <c r="J559" s="3"/>
      <c r="L559" s="3"/>
      <c r="N559" s="3"/>
      <c r="P559" s="3"/>
      <c r="AG559" s="4"/>
    </row>
    <row r="560" s="2" customFormat="true" ht="12.8" hidden="false" customHeight="false" outlineLevel="0" collapsed="false">
      <c r="A560" s="1"/>
      <c r="H560" s="3"/>
      <c r="J560" s="3"/>
      <c r="L560" s="3"/>
      <c r="N560" s="3"/>
      <c r="P560" s="3"/>
      <c r="AG560" s="4"/>
    </row>
    <row r="561" s="2" customFormat="true" ht="12.8" hidden="false" customHeight="false" outlineLevel="0" collapsed="false">
      <c r="A561" s="1"/>
      <c r="H561" s="3"/>
      <c r="J561" s="3"/>
      <c r="L561" s="3"/>
      <c r="N561" s="3"/>
      <c r="P561" s="3"/>
      <c r="AG561" s="4"/>
    </row>
    <row r="562" s="2" customFormat="true" ht="12.8" hidden="false" customHeight="false" outlineLevel="0" collapsed="false">
      <c r="A562" s="1"/>
      <c r="H562" s="3"/>
      <c r="J562" s="3"/>
      <c r="L562" s="3"/>
      <c r="N562" s="3"/>
      <c r="P562" s="3"/>
      <c r="AG562" s="4"/>
    </row>
    <row r="563" s="2" customFormat="true" ht="12.8" hidden="false" customHeight="false" outlineLevel="0" collapsed="false">
      <c r="A563" s="1"/>
      <c r="H563" s="3"/>
      <c r="J563" s="3"/>
      <c r="L563" s="3"/>
      <c r="N563" s="3"/>
      <c r="P563" s="3"/>
      <c r="AG563" s="4"/>
    </row>
    <row r="564" s="2" customFormat="true" ht="12.8" hidden="false" customHeight="false" outlineLevel="0" collapsed="false">
      <c r="A564" s="1"/>
      <c r="H564" s="3"/>
      <c r="J564" s="3"/>
      <c r="L564" s="3"/>
      <c r="N564" s="3"/>
      <c r="P564" s="3"/>
      <c r="AG564" s="4"/>
    </row>
    <row r="565" s="2" customFormat="true" ht="12.8" hidden="false" customHeight="false" outlineLevel="0" collapsed="false">
      <c r="A565" s="1"/>
      <c r="H565" s="3"/>
      <c r="J565" s="3"/>
      <c r="L565" s="3"/>
      <c r="N565" s="3"/>
      <c r="P565" s="3"/>
      <c r="AG565" s="4"/>
    </row>
    <row r="566" s="2" customFormat="true" ht="12.8" hidden="false" customHeight="false" outlineLevel="0" collapsed="false">
      <c r="A566" s="1"/>
      <c r="H566" s="3"/>
      <c r="J566" s="3"/>
      <c r="L566" s="3"/>
      <c r="N566" s="3"/>
      <c r="P566" s="3"/>
      <c r="AG566" s="4"/>
    </row>
    <row r="567" s="2" customFormat="true" ht="12.8" hidden="false" customHeight="false" outlineLevel="0" collapsed="false">
      <c r="A567" s="1"/>
      <c r="H567" s="3"/>
      <c r="J567" s="3"/>
      <c r="L567" s="3"/>
      <c r="N567" s="3"/>
      <c r="P567" s="3"/>
      <c r="AG567" s="4"/>
    </row>
    <row r="568" s="2" customFormat="true" ht="12.8" hidden="false" customHeight="false" outlineLevel="0" collapsed="false">
      <c r="A568" s="1"/>
      <c r="H568" s="3"/>
      <c r="J568" s="3"/>
      <c r="L568" s="3"/>
      <c r="N568" s="3"/>
      <c r="P568" s="3"/>
      <c r="AG568" s="4"/>
    </row>
    <row r="569" s="2" customFormat="true" ht="12.8" hidden="false" customHeight="false" outlineLevel="0" collapsed="false">
      <c r="A569" s="1"/>
      <c r="H569" s="3"/>
      <c r="J569" s="3"/>
      <c r="L569" s="3"/>
      <c r="N569" s="3"/>
      <c r="P569" s="3"/>
      <c r="AG569" s="4"/>
    </row>
    <row r="570" s="2" customFormat="true" ht="12.8" hidden="false" customHeight="false" outlineLevel="0" collapsed="false">
      <c r="A570" s="1"/>
      <c r="H570" s="3"/>
      <c r="J570" s="3"/>
      <c r="L570" s="3"/>
      <c r="N570" s="3"/>
      <c r="P570" s="3"/>
      <c r="AG570" s="4"/>
    </row>
    <row r="571" s="2" customFormat="true" ht="12.8" hidden="false" customHeight="false" outlineLevel="0" collapsed="false">
      <c r="A571" s="1"/>
      <c r="H571" s="3"/>
      <c r="J571" s="3"/>
      <c r="L571" s="3"/>
      <c r="N571" s="3"/>
      <c r="P571" s="3"/>
      <c r="AG571" s="4"/>
    </row>
    <row r="572" s="2" customFormat="true" ht="12.8" hidden="false" customHeight="false" outlineLevel="0" collapsed="false">
      <c r="A572" s="1"/>
      <c r="H572" s="3"/>
      <c r="J572" s="3"/>
      <c r="L572" s="3"/>
      <c r="N572" s="3"/>
      <c r="P572" s="3"/>
      <c r="AG572" s="4"/>
    </row>
    <row r="573" s="2" customFormat="true" ht="12.8" hidden="false" customHeight="false" outlineLevel="0" collapsed="false">
      <c r="A573" s="1"/>
      <c r="H573" s="3"/>
      <c r="J573" s="3"/>
      <c r="L573" s="3"/>
      <c r="N573" s="3"/>
      <c r="P573" s="3"/>
      <c r="AG573" s="4"/>
    </row>
    <row r="574" s="2" customFormat="true" ht="12.8" hidden="false" customHeight="false" outlineLevel="0" collapsed="false">
      <c r="A574" s="1"/>
      <c r="H574" s="3"/>
      <c r="J574" s="3"/>
      <c r="L574" s="3"/>
      <c r="N574" s="3"/>
      <c r="P574" s="3"/>
      <c r="AG574" s="4"/>
    </row>
    <row r="575" s="2" customFormat="true" ht="12.8" hidden="false" customHeight="false" outlineLevel="0" collapsed="false">
      <c r="A575" s="1"/>
      <c r="H575" s="3"/>
      <c r="J575" s="3"/>
      <c r="L575" s="3"/>
      <c r="N575" s="3"/>
      <c r="P575" s="3"/>
      <c r="AG575" s="4"/>
    </row>
    <row r="576" s="2" customFormat="true" ht="12.8" hidden="false" customHeight="false" outlineLevel="0" collapsed="false">
      <c r="A576" s="1"/>
      <c r="H576" s="3"/>
      <c r="J576" s="3"/>
      <c r="L576" s="3"/>
      <c r="N576" s="3"/>
      <c r="P576" s="3"/>
      <c r="AG576" s="4"/>
    </row>
    <row r="577" s="2" customFormat="true" ht="12.8" hidden="false" customHeight="false" outlineLevel="0" collapsed="false">
      <c r="A577" s="1"/>
      <c r="H577" s="3"/>
      <c r="J577" s="3"/>
      <c r="L577" s="3"/>
      <c r="N577" s="3"/>
      <c r="P577" s="3"/>
      <c r="AG577" s="4"/>
    </row>
    <row r="578" s="2" customFormat="true" ht="12.8" hidden="false" customHeight="false" outlineLevel="0" collapsed="false">
      <c r="A578" s="1"/>
      <c r="H578" s="3"/>
      <c r="J578" s="3"/>
      <c r="L578" s="3"/>
      <c r="N578" s="3"/>
      <c r="P578" s="3"/>
      <c r="AG578" s="4"/>
    </row>
    <row r="579" s="2" customFormat="true" ht="12.8" hidden="false" customHeight="false" outlineLevel="0" collapsed="false">
      <c r="A579" s="1"/>
      <c r="H579" s="3"/>
      <c r="J579" s="3"/>
      <c r="L579" s="3"/>
      <c r="N579" s="3"/>
      <c r="P579" s="3"/>
      <c r="AG579" s="4"/>
    </row>
    <row r="580" s="2" customFormat="true" ht="12.8" hidden="false" customHeight="false" outlineLevel="0" collapsed="false">
      <c r="A580" s="1"/>
      <c r="H580" s="3"/>
      <c r="J580" s="3"/>
      <c r="L580" s="3"/>
      <c r="N580" s="3"/>
      <c r="P580" s="3"/>
      <c r="AG580" s="4"/>
    </row>
    <row r="581" s="2" customFormat="true" ht="12.8" hidden="false" customHeight="false" outlineLevel="0" collapsed="false">
      <c r="A581" s="1"/>
      <c r="H581" s="3"/>
      <c r="J581" s="3"/>
      <c r="L581" s="3"/>
      <c r="N581" s="3"/>
      <c r="P581" s="3"/>
      <c r="AG581" s="4"/>
    </row>
    <row r="582" s="2" customFormat="true" ht="12.8" hidden="false" customHeight="false" outlineLevel="0" collapsed="false">
      <c r="A582" s="1"/>
      <c r="H582" s="3"/>
      <c r="J582" s="3"/>
      <c r="L582" s="3"/>
      <c r="N582" s="3"/>
      <c r="P582" s="3"/>
      <c r="AG582" s="4"/>
    </row>
    <row r="583" s="2" customFormat="true" ht="12.8" hidden="false" customHeight="false" outlineLevel="0" collapsed="false">
      <c r="A583" s="1"/>
      <c r="H583" s="3"/>
      <c r="J583" s="3"/>
      <c r="L583" s="3"/>
      <c r="N583" s="3"/>
      <c r="P583" s="3"/>
      <c r="AG583" s="4"/>
    </row>
    <row r="584" s="2" customFormat="true" ht="12.8" hidden="false" customHeight="false" outlineLevel="0" collapsed="false">
      <c r="A584" s="1"/>
      <c r="H584" s="3"/>
      <c r="J584" s="3"/>
      <c r="L584" s="3"/>
      <c r="N584" s="3"/>
      <c r="P584" s="3"/>
      <c r="AG584" s="4"/>
    </row>
    <row r="585" s="2" customFormat="true" ht="12.8" hidden="false" customHeight="false" outlineLevel="0" collapsed="false">
      <c r="A585" s="1"/>
      <c r="H585" s="3"/>
      <c r="J585" s="3"/>
      <c r="L585" s="3"/>
      <c r="N585" s="3"/>
      <c r="P585" s="3"/>
      <c r="AG585" s="4"/>
    </row>
    <row r="586" s="2" customFormat="true" ht="12.8" hidden="false" customHeight="false" outlineLevel="0" collapsed="false">
      <c r="A586" s="1"/>
      <c r="H586" s="3"/>
      <c r="J586" s="3"/>
      <c r="L586" s="3"/>
      <c r="N586" s="3"/>
      <c r="P586" s="3"/>
      <c r="AG586" s="4"/>
    </row>
    <row r="587" s="2" customFormat="true" ht="12.8" hidden="false" customHeight="false" outlineLevel="0" collapsed="false">
      <c r="A587" s="1"/>
      <c r="H587" s="3"/>
      <c r="J587" s="3"/>
      <c r="L587" s="3"/>
      <c r="N587" s="3"/>
      <c r="P587" s="3"/>
      <c r="AG587" s="4"/>
    </row>
    <row r="588" s="2" customFormat="true" ht="12.8" hidden="false" customHeight="false" outlineLevel="0" collapsed="false">
      <c r="A588" s="1"/>
      <c r="H588" s="3"/>
      <c r="J588" s="3"/>
      <c r="L588" s="3"/>
      <c r="N588" s="3"/>
      <c r="P588" s="3"/>
      <c r="AG588" s="4"/>
    </row>
    <row r="589" s="2" customFormat="true" ht="12.8" hidden="false" customHeight="false" outlineLevel="0" collapsed="false">
      <c r="A589" s="1"/>
      <c r="H589" s="3"/>
      <c r="J589" s="3"/>
      <c r="L589" s="3"/>
      <c r="N589" s="3"/>
      <c r="P589" s="3"/>
      <c r="AG589" s="4"/>
    </row>
    <row r="590" s="2" customFormat="true" ht="12.8" hidden="false" customHeight="false" outlineLevel="0" collapsed="false">
      <c r="A590" s="1"/>
      <c r="H590" s="3"/>
      <c r="J590" s="3"/>
      <c r="L590" s="3"/>
      <c r="N590" s="3"/>
      <c r="P590" s="3"/>
      <c r="AG590" s="4"/>
    </row>
    <row r="591" s="2" customFormat="true" ht="12.8" hidden="false" customHeight="false" outlineLevel="0" collapsed="false">
      <c r="A591" s="1"/>
      <c r="H591" s="3"/>
      <c r="J591" s="3"/>
      <c r="L591" s="3"/>
      <c r="N591" s="3"/>
      <c r="P591" s="3"/>
      <c r="AG591" s="4"/>
    </row>
    <row r="592" s="2" customFormat="true" ht="12.8" hidden="false" customHeight="false" outlineLevel="0" collapsed="false">
      <c r="A592" s="1"/>
      <c r="H592" s="3"/>
      <c r="J592" s="3"/>
      <c r="L592" s="3"/>
      <c r="N592" s="3"/>
      <c r="P592" s="3"/>
      <c r="AG592" s="4"/>
    </row>
    <row r="593" s="2" customFormat="true" ht="12.8" hidden="false" customHeight="false" outlineLevel="0" collapsed="false">
      <c r="A593" s="1"/>
      <c r="H593" s="3"/>
      <c r="J593" s="3"/>
      <c r="L593" s="3"/>
      <c r="N593" s="3"/>
      <c r="P593" s="3"/>
      <c r="AG593" s="4"/>
    </row>
    <row r="594" s="2" customFormat="true" ht="12.8" hidden="false" customHeight="false" outlineLevel="0" collapsed="false">
      <c r="A594" s="1"/>
      <c r="H594" s="3"/>
      <c r="J594" s="3"/>
      <c r="L594" s="3"/>
      <c r="N594" s="3"/>
      <c r="P594" s="3"/>
      <c r="AG594" s="4"/>
    </row>
    <row r="595" s="2" customFormat="true" ht="12.8" hidden="false" customHeight="false" outlineLevel="0" collapsed="false">
      <c r="A595" s="1"/>
      <c r="H595" s="3"/>
      <c r="J595" s="3"/>
      <c r="L595" s="3"/>
      <c r="N595" s="3"/>
      <c r="P595" s="3"/>
      <c r="AG595" s="4"/>
    </row>
    <row r="596" s="2" customFormat="true" ht="12.8" hidden="false" customHeight="false" outlineLevel="0" collapsed="false">
      <c r="A596" s="1"/>
      <c r="H596" s="3"/>
      <c r="J596" s="3"/>
      <c r="L596" s="3"/>
      <c r="N596" s="3"/>
      <c r="P596" s="3"/>
      <c r="AG596" s="4"/>
    </row>
    <row r="597" s="2" customFormat="true" ht="12.8" hidden="false" customHeight="false" outlineLevel="0" collapsed="false">
      <c r="A597" s="1"/>
      <c r="H597" s="3"/>
      <c r="J597" s="3"/>
      <c r="L597" s="3"/>
      <c r="N597" s="3"/>
      <c r="P597" s="3"/>
      <c r="AG597" s="4"/>
    </row>
    <row r="598" s="2" customFormat="true" ht="12.8" hidden="false" customHeight="false" outlineLevel="0" collapsed="false">
      <c r="A598" s="1"/>
      <c r="H598" s="3"/>
      <c r="J598" s="3"/>
      <c r="L598" s="3"/>
      <c r="N598" s="3"/>
      <c r="P598" s="3"/>
      <c r="AG598" s="4"/>
    </row>
    <row r="599" s="2" customFormat="true" ht="12.8" hidden="false" customHeight="false" outlineLevel="0" collapsed="false">
      <c r="A599" s="1"/>
      <c r="H599" s="3"/>
      <c r="J599" s="3"/>
      <c r="L599" s="3"/>
      <c r="N599" s="3"/>
      <c r="P599" s="3"/>
      <c r="AG599" s="4"/>
    </row>
    <row r="600" s="2" customFormat="true" ht="12.8" hidden="false" customHeight="false" outlineLevel="0" collapsed="false">
      <c r="A600" s="1"/>
      <c r="H600" s="3"/>
      <c r="J600" s="3"/>
      <c r="L600" s="3"/>
      <c r="N600" s="3"/>
      <c r="P600" s="3"/>
      <c r="AG600" s="4"/>
    </row>
    <row r="601" s="2" customFormat="true" ht="12.8" hidden="false" customHeight="false" outlineLevel="0" collapsed="false">
      <c r="A601" s="1"/>
      <c r="H601" s="3"/>
      <c r="J601" s="3"/>
      <c r="L601" s="3"/>
      <c r="N601" s="3"/>
      <c r="P601" s="3"/>
      <c r="AG601" s="4"/>
    </row>
    <row r="602" s="2" customFormat="true" ht="12.8" hidden="false" customHeight="false" outlineLevel="0" collapsed="false">
      <c r="A602" s="1"/>
      <c r="H602" s="3"/>
      <c r="J602" s="3"/>
      <c r="L602" s="3"/>
      <c r="N602" s="3"/>
      <c r="P602" s="3"/>
      <c r="AG602" s="4"/>
    </row>
    <row r="603" s="2" customFormat="true" ht="12.8" hidden="false" customHeight="false" outlineLevel="0" collapsed="false">
      <c r="A603" s="1"/>
      <c r="H603" s="3"/>
      <c r="J603" s="3"/>
      <c r="L603" s="3"/>
      <c r="N603" s="3"/>
      <c r="P603" s="3"/>
      <c r="AG603" s="4"/>
    </row>
    <row r="604" s="2" customFormat="true" ht="12.8" hidden="false" customHeight="false" outlineLevel="0" collapsed="false">
      <c r="A604" s="1"/>
      <c r="H604" s="3"/>
      <c r="J604" s="3"/>
      <c r="L604" s="3"/>
      <c r="N604" s="3"/>
      <c r="P604" s="3"/>
      <c r="AG604" s="4"/>
    </row>
    <row r="605" s="2" customFormat="true" ht="12.8" hidden="false" customHeight="false" outlineLevel="0" collapsed="false">
      <c r="A605" s="1"/>
      <c r="H605" s="3"/>
      <c r="J605" s="3"/>
      <c r="L605" s="3"/>
      <c r="N605" s="3"/>
      <c r="P605" s="3"/>
      <c r="AG605" s="4"/>
    </row>
    <row r="606" s="2" customFormat="true" ht="12.8" hidden="false" customHeight="false" outlineLevel="0" collapsed="false">
      <c r="A606" s="1"/>
      <c r="H606" s="3"/>
      <c r="J606" s="3"/>
      <c r="L606" s="3"/>
      <c r="N606" s="3"/>
      <c r="P606" s="3"/>
      <c r="AG606" s="4"/>
    </row>
    <row r="607" s="2" customFormat="true" ht="12.8" hidden="false" customHeight="false" outlineLevel="0" collapsed="false">
      <c r="A607" s="1"/>
      <c r="H607" s="3"/>
      <c r="J607" s="3"/>
      <c r="L607" s="3"/>
      <c r="N607" s="3"/>
      <c r="P607" s="3"/>
      <c r="AG607" s="4"/>
    </row>
    <row r="608" s="2" customFormat="true" ht="12.8" hidden="false" customHeight="false" outlineLevel="0" collapsed="false">
      <c r="A608" s="1"/>
      <c r="H608" s="3"/>
      <c r="J608" s="3"/>
      <c r="L608" s="3"/>
      <c r="N608" s="3"/>
      <c r="P608" s="3"/>
      <c r="AG608" s="4"/>
    </row>
    <row r="609" s="2" customFormat="true" ht="12.8" hidden="false" customHeight="false" outlineLevel="0" collapsed="false">
      <c r="A609" s="1"/>
      <c r="H609" s="3"/>
      <c r="J609" s="3"/>
      <c r="L609" s="3"/>
      <c r="N609" s="3"/>
      <c r="P609" s="3"/>
      <c r="AG609" s="4"/>
    </row>
    <row r="610" s="2" customFormat="true" ht="12.8" hidden="false" customHeight="false" outlineLevel="0" collapsed="false">
      <c r="A610" s="1"/>
      <c r="H610" s="3"/>
      <c r="J610" s="3"/>
      <c r="L610" s="3"/>
      <c r="N610" s="3"/>
      <c r="P610" s="3"/>
      <c r="AG610" s="4"/>
    </row>
    <row r="611" s="2" customFormat="true" ht="12.8" hidden="false" customHeight="false" outlineLevel="0" collapsed="false">
      <c r="A611" s="1"/>
      <c r="H611" s="3"/>
      <c r="J611" s="3"/>
      <c r="L611" s="3"/>
      <c r="N611" s="3"/>
      <c r="P611" s="3"/>
      <c r="AG611" s="4"/>
    </row>
    <row r="612" s="2" customFormat="true" ht="12.8" hidden="false" customHeight="false" outlineLevel="0" collapsed="false">
      <c r="A612" s="1"/>
      <c r="H612" s="3"/>
      <c r="J612" s="3"/>
      <c r="L612" s="3"/>
      <c r="N612" s="3"/>
      <c r="P612" s="3"/>
      <c r="AG612" s="4"/>
    </row>
    <row r="613" s="2" customFormat="true" ht="12.8" hidden="false" customHeight="false" outlineLevel="0" collapsed="false">
      <c r="A613" s="1"/>
      <c r="H613" s="3"/>
      <c r="J613" s="3"/>
      <c r="L613" s="3"/>
      <c r="N613" s="3"/>
      <c r="P613" s="3"/>
      <c r="AG613" s="4"/>
    </row>
    <row r="614" s="2" customFormat="true" ht="12.8" hidden="false" customHeight="false" outlineLevel="0" collapsed="false">
      <c r="A614" s="1"/>
      <c r="H614" s="3"/>
      <c r="J614" s="3"/>
      <c r="L614" s="3"/>
      <c r="N614" s="3"/>
      <c r="P614" s="3"/>
      <c r="AG614" s="4"/>
    </row>
    <row r="615" s="2" customFormat="true" ht="12.8" hidden="false" customHeight="false" outlineLevel="0" collapsed="false">
      <c r="A615" s="1"/>
      <c r="H615" s="3"/>
      <c r="J615" s="3"/>
      <c r="L615" s="3"/>
      <c r="N615" s="3"/>
      <c r="P615" s="3"/>
      <c r="AG615" s="4"/>
    </row>
    <row r="616" s="2" customFormat="true" ht="12.8" hidden="false" customHeight="false" outlineLevel="0" collapsed="false">
      <c r="A616" s="1"/>
      <c r="H616" s="3"/>
      <c r="J616" s="3"/>
      <c r="L616" s="3"/>
      <c r="N616" s="3"/>
      <c r="P616" s="3"/>
      <c r="AG616" s="4"/>
    </row>
    <row r="617" s="2" customFormat="true" ht="12.8" hidden="false" customHeight="false" outlineLevel="0" collapsed="false">
      <c r="A617" s="1"/>
      <c r="H617" s="3"/>
      <c r="J617" s="3"/>
      <c r="L617" s="3"/>
      <c r="N617" s="3"/>
      <c r="P617" s="3"/>
      <c r="AG617" s="4"/>
    </row>
    <row r="618" s="2" customFormat="true" ht="12.8" hidden="false" customHeight="false" outlineLevel="0" collapsed="false">
      <c r="A618" s="1"/>
      <c r="H618" s="3"/>
      <c r="J618" s="3"/>
      <c r="L618" s="3"/>
      <c r="N618" s="3"/>
      <c r="P618" s="3"/>
      <c r="AG618" s="4"/>
    </row>
    <row r="619" s="2" customFormat="true" ht="12.8" hidden="false" customHeight="false" outlineLevel="0" collapsed="false">
      <c r="A619" s="1"/>
      <c r="H619" s="3"/>
      <c r="J619" s="3"/>
      <c r="L619" s="3"/>
      <c r="N619" s="3"/>
      <c r="P619" s="3"/>
      <c r="AG619" s="4"/>
    </row>
    <row r="620" s="2" customFormat="true" ht="12.8" hidden="false" customHeight="false" outlineLevel="0" collapsed="false">
      <c r="A620" s="1"/>
      <c r="H620" s="3"/>
      <c r="J620" s="3"/>
      <c r="L620" s="3"/>
      <c r="N620" s="3"/>
      <c r="P620" s="3"/>
      <c r="AG620" s="4"/>
    </row>
    <row r="621" s="2" customFormat="true" ht="12.8" hidden="false" customHeight="false" outlineLevel="0" collapsed="false">
      <c r="A621" s="1"/>
      <c r="H621" s="3"/>
      <c r="J621" s="3"/>
      <c r="L621" s="3"/>
      <c r="N621" s="3"/>
      <c r="P621" s="3"/>
      <c r="AG621" s="4"/>
    </row>
    <row r="622" s="2" customFormat="true" ht="12.8" hidden="false" customHeight="false" outlineLevel="0" collapsed="false">
      <c r="A622" s="1"/>
      <c r="H622" s="3"/>
      <c r="J622" s="3"/>
      <c r="L622" s="3"/>
      <c r="N622" s="3"/>
      <c r="P622" s="3"/>
      <c r="AG622" s="4"/>
    </row>
    <row r="623" s="2" customFormat="true" ht="12.8" hidden="false" customHeight="false" outlineLevel="0" collapsed="false">
      <c r="A623" s="1"/>
      <c r="H623" s="3"/>
      <c r="J623" s="3"/>
      <c r="L623" s="3"/>
      <c r="N623" s="3"/>
      <c r="P623" s="3"/>
      <c r="AG623" s="4"/>
    </row>
    <row r="624" s="2" customFormat="true" ht="12.8" hidden="false" customHeight="false" outlineLevel="0" collapsed="false">
      <c r="A624" s="1"/>
      <c r="H624" s="3"/>
      <c r="J624" s="3"/>
      <c r="L624" s="3"/>
      <c r="N624" s="3"/>
      <c r="P624" s="3"/>
      <c r="AG624" s="4"/>
    </row>
    <row r="625" s="2" customFormat="true" ht="12.8" hidden="false" customHeight="false" outlineLevel="0" collapsed="false">
      <c r="A625" s="1"/>
      <c r="H625" s="3"/>
      <c r="J625" s="3"/>
      <c r="L625" s="3"/>
      <c r="N625" s="3"/>
      <c r="P625" s="3"/>
      <c r="AG625" s="4"/>
    </row>
    <row r="626" s="2" customFormat="true" ht="12.8" hidden="false" customHeight="false" outlineLevel="0" collapsed="false">
      <c r="A626" s="1"/>
      <c r="H626" s="3"/>
      <c r="J626" s="3"/>
      <c r="L626" s="3"/>
      <c r="N626" s="3"/>
      <c r="P626" s="3"/>
      <c r="AG626" s="4"/>
    </row>
    <row r="627" s="2" customFormat="true" ht="12.8" hidden="false" customHeight="false" outlineLevel="0" collapsed="false">
      <c r="A627" s="1"/>
      <c r="H627" s="3"/>
      <c r="J627" s="3"/>
      <c r="L627" s="3"/>
      <c r="N627" s="3"/>
      <c r="P627" s="3"/>
      <c r="AG627" s="4"/>
    </row>
    <row r="628" s="2" customFormat="true" ht="12.8" hidden="false" customHeight="false" outlineLevel="0" collapsed="false">
      <c r="A628" s="1"/>
      <c r="H628" s="3"/>
      <c r="J628" s="3"/>
      <c r="L628" s="3"/>
      <c r="N628" s="3"/>
      <c r="P628" s="3"/>
      <c r="AG628" s="4"/>
    </row>
    <row r="629" s="2" customFormat="true" ht="12.8" hidden="false" customHeight="false" outlineLevel="0" collapsed="false">
      <c r="A629" s="1"/>
      <c r="H629" s="3"/>
      <c r="J629" s="3"/>
      <c r="L629" s="3"/>
      <c r="N629" s="3"/>
      <c r="P629" s="3"/>
      <c r="AG629" s="4"/>
    </row>
    <row r="630" s="2" customFormat="true" ht="12.8" hidden="false" customHeight="false" outlineLevel="0" collapsed="false">
      <c r="A630" s="1"/>
      <c r="H630" s="3"/>
      <c r="J630" s="3"/>
      <c r="L630" s="3"/>
      <c r="N630" s="3"/>
      <c r="P630" s="3"/>
      <c r="AG630" s="4"/>
    </row>
    <row r="631" s="2" customFormat="true" ht="12.8" hidden="false" customHeight="false" outlineLevel="0" collapsed="false">
      <c r="A631" s="1"/>
      <c r="H631" s="3"/>
      <c r="J631" s="3"/>
      <c r="L631" s="3"/>
      <c r="N631" s="3"/>
      <c r="P631" s="3"/>
      <c r="AG631" s="4"/>
    </row>
    <row r="632" s="2" customFormat="true" ht="12.8" hidden="false" customHeight="false" outlineLevel="0" collapsed="false">
      <c r="A632" s="1"/>
      <c r="H632" s="3"/>
      <c r="J632" s="3"/>
      <c r="L632" s="3"/>
      <c r="N632" s="3"/>
      <c r="P632" s="3"/>
      <c r="AG632" s="4"/>
    </row>
    <row r="633" s="2" customFormat="true" ht="12.8" hidden="false" customHeight="false" outlineLevel="0" collapsed="false">
      <c r="A633" s="1"/>
      <c r="H633" s="3"/>
      <c r="J633" s="3"/>
      <c r="L633" s="3"/>
      <c r="N633" s="3"/>
      <c r="P633" s="3"/>
      <c r="AG633" s="4"/>
    </row>
    <row r="634" s="2" customFormat="true" ht="12.8" hidden="false" customHeight="false" outlineLevel="0" collapsed="false">
      <c r="A634" s="1"/>
      <c r="H634" s="3"/>
      <c r="J634" s="3"/>
      <c r="L634" s="3"/>
      <c r="N634" s="3"/>
      <c r="P634" s="3"/>
      <c r="AG634" s="4"/>
    </row>
    <row r="635" s="2" customFormat="true" ht="12.8" hidden="false" customHeight="false" outlineLevel="0" collapsed="false">
      <c r="A635" s="1"/>
      <c r="H635" s="3"/>
      <c r="J635" s="3"/>
      <c r="L635" s="3"/>
      <c r="N635" s="3"/>
      <c r="P635" s="3"/>
      <c r="AG635" s="4"/>
    </row>
    <row r="636" s="2" customFormat="true" ht="12.8" hidden="false" customHeight="false" outlineLevel="0" collapsed="false">
      <c r="A636" s="1"/>
      <c r="H636" s="3"/>
      <c r="J636" s="3"/>
      <c r="L636" s="3"/>
      <c r="N636" s="3"/>
      <c r="P636" s="3"/>
      <c r="AG636" s="4"/>
    </row>
    <row r="637" s="2" customFormat="true" ht="12.8" hidden="false" customHeight="false" outlineLevel="0" collapsed="false">
      <c r="A637" s="1"/>
      <c r="H637" s="3"/>
      <c r="J637" s="3"/>
      <c r="L637" s="3"/>
      <c r="N637" s="3"/>
      <c r="P637" s="3"/>
      <c r="AG637" s="4"/>
    </row>
    <row r="638" s="2" customFormat="true" ht="12.8" hidden="false" customHeight="false" outlineLevel="0" collapsed="false">
      <c r="A638" s="1"/>
      <c r="H638" s="3"/>
      <c r="J638" s="3"/>
      <c r="L638" s="3"/>
      <c r="N638" s="3"/>
      <c r="P638" s="3"/>
      <c r="AG638" s="4"/>
    </row>
    <row r="639" s="2" customFormat="true" ht="12.8" hidden="false" customHeight="false" outlineLevel="0" collapsed="false">
      <c r="A639" s="1"/>
      <c r="H639" s="3"/>
      <c r="J639" s="3"/>
      <c r="L639" s="3"/>
      <c r="N639" s="3"/>
      <c r="P639" s="3"/>
      <c r="AG639" s="4"/>
    </row>
    <row r="640" s="2" customFormat="true" ht="12.8" hidden="false" customHeight="false" outlineLevel="0" collapsed="false">
      <c r="A640" s="1"/>
      <c r="H640" s="3"/>
      <c r="J640" s="3"/>
      <c r="L640" s="3"/>
      <c r="N640" s="3"/>
      <c r="P640" s="3"/>
      <c r="AG640" s="4"/>
    </row>
    <row r="641" s="2" customFormat="true" ht="12.8" hidden="false" customHeight="false" outlineLevel="0" collapsed="false">
      <c r="A641" s="1"/>
      <c r="H641" s="3"/>
      <c r="J641" s="3"/>
      <c r="L641" s="3"/>
      <c r="N641" s="3"/>
      <c r="P641" s="3"/>
      <c r="AG641" s="4"/>
    </row>
    <row r="642" s="2" customFormat="true" ht="12.8" hidden="false" customHeight="false" outlineLevel="0" collapsed="false">
      <c r="A642" s="1"/>
      <c r="H642" s="3"/>
      <c r="J642" s="3"/>
      <c r="L642" s="3"/>
      <c r="N642" s="3"/>
      <c r="P642" s="3"/>
      <c r="AG642" s="4"/>
    </row>
    <row r="643" s="2" customFormat="true" ht="12.8" hidden="false" customHeight="false" outlineLevel="0" collapsed="false">
      <c r="A643" s="1"/>
      <c r="H643" s="3"/>
      <c r="J643" s="3"/>
      <c r="L643" s="3"/>
      <c r="N643" s="3"/>
      <c r="P643" s="3"/>
      <c r="AG643" s="4"/>
    </row>
    <row r="644" s="2" customFormat="true" ht="12.8" hidden="false" customHeight="false" outlineLevel="0" collapsed="false">
      <c r="A644" s="1"/>
      <c r="H644" s="3"/>
      <c r="J644" s="3"/>
      <c r="L644" s="3"/>
      <c r="N644" s="3"/>
      <c r="P644" s="3"/>
      <c r="AG644" s="4"/>
    </row>
    <row r="645" s="2" customFormat="true" ht="12.8" hidden="false" customHeight="false" outlineLevel="0" collapsed="false">
      <c r="A645" s="1"/>
      <c r="H645" s="3"/>
      <c r="J645" s="3"/>
      <c r="L645" s="3"/>
      <c r="N645" s="3"/>
      <c r="P645" s="3"/>
      <c r="AG645" s="4"/>
    </row>
    <row r="646" s="2" customFormat="true" ht="12.8" hidden="false" customHeight="false" outlineLevel="0" collapsed="false">
      <c r="A646" s="1"/>
      <c r="H646" s="3"/>
      <c r="J646" s="3"/>
      <c r="L646" s="3"/>
      <c r="N646" s="3"/>
      <c r="P646" s="3"/>
      <c r="AG646" s="4"/>
    </row>
    <row r="647" s="2" customFormat="true" ht="12.8" hidden="false" customHeight="false" outlineLevel="0" collapsed="false">
      <c r="A647" s="1"/>
      <c r="H647" s="3"/>
      <c r="J647" s="3"/>
      <c r="L647" s="3"/>
      <c r="N647" s="3"/>
      <c r="P647" s="3"/>
      <c r="AG647" s="4"/>
    </row>
    <row r="648" s="2" customFormat="true" ht="12.8" hidden="false" customHeight="false" outlineLevel="0" collapsed="false">
      <c r="A648" s="1"/>
      <c r="H648" s="3"/>
      <c r="J648" s="3"/>
      <c r="L648" s="3"/>
      <c r="N648" s="3"/>
      <c r="P648" s="3"/>
      <c r="AG648" s="4"/>
    </row>
    <row r="649" s="2" customFormat="true" ht="12.8" hidden="false" customHeight="false" outlineLevel="0" collapsed="false">
      <c r="A649" s="1"/>
      <c r="H649" s="3"/>
      <c r="J649" s="3"/>
      <c r="L649" s="3"/>
      <c r="N649" s="3"/>
      <c r="P649" s="3"/>
      <c r="AG649" s="4"/>
    </row>
    <row r="650" s="2" customFormat="true" ht="12.8" hidden="false" customHeight="false" outlineLevel="0" collapsed="false">
      <c r="A650" s="1"/>
      <c r="H650" s="3"/>
      <c r="J650" s="3"/>
      <c r="L650" s="3"/>
      <c r="N650" s="3"/>
      <c r="P650" s="3"/>
      <c r="AG650" s="4"/>
    </row>
    <row r="651" s="2" customFormat="true" ht="12.8" hidden="false" customHeight="false" outlineLevel="0" collapsed="false">
      <c r="A651" s="1"/>
      <c r="H651" s="3"/>
      <c r="J651" s="3"/>
      <c r="L651" s="3"/>
      <c r="N651" s="3"/>
      <c r="P651" s="3"/>
      <c r="AG651" s="4"/>
    </row>
    <row r="652" s="2" customFormat="true" ht="12.8" hidden="false" customHeight="false" outlineLevel="0" collapsed="false">
      <c r="A652" s="1"/>
      <c r="H652" s="3"/>
      <c r="J652" s="3"/>
      <c r="L652" s="3"/>
      <c r="N652" s="3"/>
      <c r="P652" s="3"/>
      <c r="AG652" s="4"/>
    </row>
    <row r="653" s="2" customFormat="true" ht="12.8" hidden="false" customHeight="false" outlineLevel="0" collapsed="false">
      <c r="A653" s="1"/>
      <c r="H653" s="3"/>
      <c r="J653" s="3"/>
      <c r="L653" s="3"/>
      <c r="N653" s="3"/>
      <c r="P653" s="3"/>
      <c r="AG653" s="4"/>
    </row>
    <row r="654" s="2" customFormat="true" ht="12.8" hidden="false" customHeight="false" outlineLevel="0" collapsed="false">
      <c r="A654" s="1"/>
      <c r="H654" s="3"/>
      <c r="J654" s="3"/>
      <c r="L654" s="3"/>
      <c r="N654" s="3"/>
      <c r="P654" s="3"/>
      <c r="AG654" s="4"/>
    </row>
    <row r="655" s="2" customFormat="true" ht="12.8" hidden="false" customHeight="false" outlineLevel="0" collapsed="false">
      <c r="A655" s="1"/>
      <c r="H655" s="3"/>
      <c r="J655" s="3"/>
      <c r="L655" s="3"/>
      <c r="N655" s="3"/>
      <c r="P655" s="3"/>
      <c r="AG655" s="4"/>
    </row>
    <row r="656" s="2" customFormat="true" ht="12.8" hidden="false" customHeight="false" outlineLevel="0" collapsed="false">
      <c r="A656" s="1"/>
      <c r="H656" s="3"/>
      <c r="J656" s="3"/>
      <c r="L656" s="3"/>
      <c r="N656" s="3"/>
      <c r="P656" s="3"/>
      <c r="AG656" s="4"/>
    </row>
    <row r="657" s="2" customFormat="true" ht="12.8" hidden="false" customHeight="false" outlineLevel="0" collapsed="false">
      <c r="A657" s="1"/>
      <c r="H657" s="3"/>
      <c r="J657" s="3"/>
      <c r="L657" s="3"/>
      <c r="N657" s="3"/>
      <c r="P657" s="3"/>
      <c r="AG657" s="4"/>
    </row>
    <row r="658" s="2" customFormat="true" ht="12.8" hidden="false" customHeight="false" outlineLevel="0" collapsed="false">
      <c r="A658" s="1"/>
      <c r="H658" s="3"/>
      <c r="J658" s="3"/>
      <c r="L658" s="3"/>
      <c r="N658" s="3"/>
      <c r="P658" s="3"/>
      <c r="AG658" s="4"/>
    </row>
    <row r="659" s="2" customFormat="true" ht="12.8" hidden="false" customHeight="false" outlineLevel="0" collapsed="false">
      <c r="A659" s="1"/>
      <c r="H659" s="3"/>
      <c r="J659" s="3"/>
      <c r="L659" s="3"/>
      <c r="N659" s="3"/>
      <c r="P659" s="3"/>
      <c r="AG659" s="4"/>
    </row>
    <row r="660" s="2" customFormat="true" ht="12.8" hidden="false" customHeight="false" outlineLevel="0" collapsed="false">
      <c r="A660" s="1"/>
      <c r="H660" s="3"/>
      <c r="J660" s="3"/>
      <c r="L660" s="3"/>
      <c r="N660" s="3"/>
      <c r="P660" s="3"/>
      <c r="AG660" s="4"/>
    </row>
    <row r="661" s="2" customFormat="true" ht="12.8" hidden="false" customHeight="false" outlineLevel="0" collapsed="false">
      <c r="A661" s="1"/>
      <c r="H661" s="3"/>
      <c r="J661" s="3"/>
      <c r="L661" s="3"/>
      <c r="N661" s="3"/>
      <c r="P661" s="3"/>
      <c r="AG661" s="4"/>
    </row>
    <row r="662" s="2" customFormat="true" ht="12.8" hidden="false" customHeight="false" outlineLevel="0" collapsed="false">
      <c r="A662" s="1"/>
      <c r="H662" s="3"/>
      <c r="J662" s="3"/>
      <c r="L662" s="3"/>
      <c r="N662" s="3"/>
      <c r="P662" s="3"/>
      <c r="AG662" s="4"/>
    </row>
    <row r="663" s="2" customFormat="true" ht="12.8" hidden="false" customHeight="false" outlineLevel="0" collapsed="false">
      <c r="A663" s="1"/>
      <c r="H663" s="3"/>
      <c r="J663" s="3"/>
      <c r="L663" s="3"/>
      <c r="N663" s="3"/>
      <c r="P663" s="3"/>
      <c r="AG663" s="4"/>
    </row>
    <row r="664" s="2" customFormat="true" ht="12.8" hidden="false" customHeight="false" outlineLevel="0" collapsed="false">
      <c r="A664" s="1"/>
      <c r="H664" s="3"/>
      <c r="J664" s="3"/>
      <c r="L664" s="3"/>
      <c r="N664" s="3"/>
      <c r="P664" s="3"/>
      <c r="AG664" s="4"/>
    </row>
    <row r="665" s="2" customFormat="true" ht="12.8" hidden="false" customHeight="false" outlineLevel="0" collapsed="false">
      <c r="A665" s="1"/>
      <c r="H665" s="3"/>
      <c r="J665" s="3"/>
      <c r="L665" s="3"/>
      <c r="N665" s="3"/>
      <c r="P665" s="3"/>
      <c r="AG665" s="4"/>
    </row>
    <row r="666" s="2" customFormat="true" ht="12.8" hidden="false" customHeight="false" outlineLevel="0" collapsed="false">
      <c r="A666" s="1"/>
      <c r="H666" s="3"/>
      <c r="J666" s="3"/>
      <c r="L666" s="3"/>
      <c r="N666" s="3"/>
      <c r="P666" s="3"/>
      <c r="AG666" s="4"/>
    </row>
    <row r="667" s="2" customFormat="true" ht="12.8" hidden="false" customHeight="false" outlineLevel="0" collapsed="false">
      <c r="A667" s="1"/>
      <c r="H667" s="3"/>
      <c r="J667" s="3"/>
      <c r="L667" s="3"/>
      <c r="N667" s="3"/>
      <c r="P667" s="3"/>
      <c r="AG667" s="4"/>
    </row>
    <row r="668" s="2" customFormat="true" ht="12.8" hidden="false" customHeight="false" outlineLevel="0" collapsed="false">
      <c r="A668" s="1"/>
      <c r="H668" s="3"/>
      <c r="J668" s="3"/>
      <c r="L668" s="3"/>
      <c r="N668" s="3"/>
      <c r="P668" s="3"/>
      <c r="AG668" s="4"/>
    </row>
    <row r="669" s="2" customFormat="true" ht="12.8" hidden="false" customHeight="false" outlineLevel="0" collapsed="false">
      <c r="A669" s="1"/>
      <c r="H669" s="3"/>
      <c r="J669" s="3"/>
      <c r="L669" s="3"/>
      <c r="N669" s="3"/>
      <c r="P669" s="3"/>
      <c r="AG669" s="4"/>
    </row>
    <row r="670" s="2" customFormat="true" ht="12.8" hidden="false" customHeight="false" outlineLevel="0" collapsed="false">
      <c r="A670" s="1"/>
      <c r="H670" s="3"/>
      <c r="J670" s="3"/>
      <c r="L670" s="3"/>
      <c r="N670" s="3"/>
      <c r="P670" s="3"/>
      <c r="AG670" s="4"/>
    </row>
    <row r="671" s="2" customFormat="true" ht="12.8" hidden="false" customHeight="false" outlineLevel="0" collapsed="false">
      <c r="A671" s="1"/>
      <c r="H671" s="3"/>
      <c r="J671" s="3"/>
      <c r="L671" s="3"/>
      <c r="N671" s="3"/>
      <c r="P671" s="3"/>
      <c r="AG671" s="4"/>
    </row>
    <row r="672" s="2" customFormat="true" ht="12.8" hidden="false" customHeight="false" outlineLevel="0" collapsed="false">
      <c r="A672" s="1"/>
      <c r="H672" s="3"/>
      <c r="J672" s="3"/>
      <c r="L672" s="3"/>
      <c r="N672" s="3"/>
      <c r="P672" s="3"/>
      <c r="AG672" s="4"/>
    </row>
    <row r="673" s="2" customFormat="true" ht="12.8" hidden="false" customHeight="false" outlineLevel="0" collapsed="false">
      <c r="A673" s="1"/>
      <c r="H673" s="3"/>
      <c r="J673" s="3"/>
      <c r="L673" s="3"/>
      <c r="N673" s="3"/>
      <c r="P673" s="3"/>
      <c r="AG673" s="4"/>
    </row>
    <row r="674" s="2" customFormat="true" ht="12.8" hidden="false" customHeight="false" outlineLevel="0" collapsed="false">
      <c r="A674" s="1"/>
      <c r="H674" s="3"/>
      <c r="J674" s="3"/>
      <c r="L674" s="3"/>
      <c r="N674" s="3"/>
      <c r="P674" s="3"/>
      <c r="AG674" s="4"/>
    </row>
    <row r="675" s="2" customFormat="true" ht="12.8" hidden="false" customHeight="false" outlineLevel="0" collapsed="false">
      <c r="A675" s="1"/>
      <c r="H675" s="3"/>
      <c r="J675" s="3"/>
      <c r="L675" s="3"/>
      <c r="N675" s="3"/>
      <c r="P675" s="3"/>
      <c r="AG675" s="4"/>
    </row>
    <row r="676" s="2" customFormat="true" ht="12.8" hidden="false" customHeight="false" outlineLevel="0" collapsed="false">
      <c r="A676" s="1"/>
      <c r="H676" s="3"/>
      <c r="J676" s="3"/>
      <c r="L676" s="3"/>
      <c r="N676" s="3"/>
      <c r="P676" s="3"/>
      <c r="AG676" s="4"/>
    </row>
    <row r="677" s="2" customFormat="true" ht="12.8" hidden="false" customHeight="false" outlineLevel="0" collapsed="false">
      <c r="A677" s="1"/>
      <c r="H677" s="3"/>
      <c r="J677" s="3"/>
      <c r="L677" s="3"/>
      <c r="N677" s="3"/>
      <c r="P677" s="3"/>
      <c r="AG677" s="4"/>
    </row>
    <row r="678" s="2" customFormat="true" ht="12.8" hidden="false" customHeight="false" outlineLevel="0" collapsed="false">
      <c r="A678" s="1"/>
      <c r="H678" s="3"/>
      <c r="J678" s="3"/>
      <c r="L678" s="3"/>
      <c r="N678" s="3"/>
      <c r="P678" s="3"/>
      <c r="AG678" s="4"/>
    </row>
    <row r="679" s="2" customFormat="true" ht="12.8" hidden="false" customHeight="false" outlineLevel="0" collapsed="false">
      <c r="A679" s="1"/>
      <c r="H679" s="3"/>
      <c r="J679" s="3"/>
      <c r="L679" s="3"/>
      <c r="N679" s="3"/>
      <c r="P679" s="3"/>
      <c r="AG679" s="4"/>
    </row>
    <row r="680" s="2" customFormat="true" ht="12.8" hidden="false" customHeight="false" outlineLevel="0" collapsed="false">
      <c r="A680" s="1"/>
      <c r="H680" s="3"/>
      <c r="J680" s="3"/>
      <c r="L680" s="3"/>
      <c r="N680" s="3"/>
      <c r="P680" s="3"/>
      <c r="AG680" s="4"/>
    </row>
    <row r="681" s="2" customFormat="true" ht="12.8" hidden="false" customHeight="false" outlineLevel="0" collapsed="false">
      <c r="A681" s="1"/>
      <c r="H681" s="3"/>
      <c r="J681" s="3"/>
      <c r="L681" s="3"/>
      <c r="N681" s="3"/>
      <c r="P681" s="3"/>
      <c r="AG681" s="4"/>
    </row>
    <row r="682" s="2" customFormat="true" ht="12.8" hidden="false" customHeight="false" outlineLevel="0" collapsed="false">
      <c r="A682" s="1"/>
      <c r="H682" s="3"/>
      <c r="J682" s="3"/>
      <c r="L682" s="3"/>
      <c r="N682" s="3"/>
      <c r="P682" s="3"/>
      <c r="AG682" s="4"/>
    </row>
    <row r="683" s="2" customFormat="true" ht="12.8" hidden="false" customHeight="false" outlineLevel="0" collapsed="false">
      <c r="A683" s="1"/>
      <c r="H683" s="3"/>
      <c r="J683" s="3"/>
      <c r="L683" s="3"/>
      <c r="N683" s="3"/>
      <c r="P683" s="3"/>
      <c r="AG683" s="4"/>
    </row>
    <row r="684" s="2" customFormat="true" ht="12.8" hidden="false" customHeight="false" outlineLevel="0" collapsed="false">
      <c r="A684" s="1"/>
      <c r="H684" s="3"/>
      <c r="J684" s="3"/>
      <c r="L684" s="3"/>
      <c r="N684" s="3"/>
      <c r="P684" s="3"/>
      <c r="AG684" s="4"/>
    </row>
    <row r="685" s="2" customFormat="true" ht="12.8" hidden="false" customHeight="false" outlineLevel="0" collapsed="false">
      <c r="A685" s="1"/>
      <c r="H685" s="3"/>
      <c r="J685" s="3"/>
      <c r="L685" s="3"/>
      <c r="N685" s="3"/>
      <c r="P685" s="3"/>
      <c r="AG685" s="4"/>
    </row>
    <row r="686" s="2" customFormat="true" ht="12.8" hidden="false" customHeight="false" outlineLevel="0" collapsed="false">
      <c r="A686" s="1"/>
      <c r="H686" s="3"/>
      <c r="J686" s="3"/>
      <c r="L686" s="3"/>
      <c r="N686" s="3"/>
      <c r="P686" s="3"/>
      <c r="AG686" s="4"/>
    </row>
    <row r="687" s="2" customFormat="true" ht="12.8" hidden="false" customHeight="false" outlineLevel="0" collapsed="false">
      <c r="A687" s="1"/>
      <c r="H687" s="3"/>
      <c r="J687" s="3"/>
      <c r="L687" s="3"/>
      <c r="N687" s="3"/>
      <c r="P687" s="3"/>
      <c r="AG687" s="4"/>
    </row>
    <row r="688" s="2" customFormat="true" ht="12.8" hidden="false" customHeight="false" outlineLevel="0" collapsed="false">
      <c r="A688" s="1"/>
      <c r="H688" s="3"/>
      <c r="J688" s="3"/>
      <c r="L688" s="3"/>
      <c r="N688" s="3"/>
      <c r="P688" s="3"/>
      <c r="AG688" s="4"/>
    </row>
    <row r="689" s="2" customFormat="true" ht="12.8" hidden="false" customHeight="false" outlineLevel="0" collapsed="false">
      <c r="A689" s="1"/>
      <c r="H689" s="3"/>
      <c r="J689" s="3"/>
      <c r="L689" s="3"/>
      <c r="N689" s="3"/>
      <c r="P689" s="3"/>
      <c r="AG689" s="4"/>
    </row>
    <row r="690" s="2" customFormat="true" ht="12.8" hidden="false" customHeight="false" outlineLevel="0" collapsed="false">
      <c r="A690" s="1"/>
      <c r="H690" s="3"/>
      <c r="J690" s="3"/>
      <c r="L690" s="3"/>
      <c r="N690" s="3"/>
      <c r="P690" s="3"/>
      <c r="AG690" s="4"/>
    </row>
    <row r="691" s="2" customFormat="true" ht="12.8" hidden="false" customHeight="false" outlineLevel="0" collapsed="false">
      <c r="A691" s="1"/>
      <c r="H691" s="3"/>
      <c r="J691" s="3"/>
      <c r="L691" s="3"/>
      <c r="N691" s="3"/>
      <c r="P691" s="3"/>
      <c r="AG691" s="4"/>
    </row>
    <row r="692" s="2" customFormat="true" ht="12.8" hidden="false" customHeight="false" outlineLevel="0" collapsed="false">
      <c r="A692" s="1"/>
      <c r="H692" s="3"/>
      <c r="J692" s="3"/>
      <c r="L692" s="3"/>
      <c r="N692" s="3"/>
      <c r="P692" s="3"/>
      <c r="AG692" s="4"/>
    </row>
    <row r="693" s="2" customFormat="true" ht="12.8" hidden="false" customHeight="false" outlineLevel="0" collapsed="false">
      <c r="A693" s="1"/>
      <c r="H693" s="3"/>
      <c r="J693" s="3"/>
      <c r="L693" s="3"/>
      <c r="N693" s="3"/>
      <c r="P693" s="3"/>
      <c r="AG693" s="4"/>
    </row>
    <row r="694" s="2" customFormat="true" ht="12.8" hidden="false" customHeight="false" outlineLevel="0" collapsed="false">
      <c r="A694" s="1"/>
      <c r="H694" s="3"/>
      <c r="J694" s="3"/>
      <c r="L694" s="3"/>
      <c r="N694" s="3"/>
      <c r="P694" s="3"/>
      <c r="AG694" s="4"/>
    </row>
    <row r="695" s="2" customFormat="true" ht="12.8" hidden="false" customHeight="false" outlineLevel="0" collapsed="false">
      <c r="A695" s="1"/>
      <c r="H695" s="3"/>
      <c r="J695" s="3"/>
      <c r="L695" s="3"/>
      <c r="N695" s="3"/>
      <c r="P695" s="3"/>
      <c r="AG695" s="4"/>
    </row>
    <row r="696" s="2" customFormat="true" ht="12.8" hidden="false" customHeight="false" outlineLevel="0" collapsed="false">
      <c r="A696" s="1"/>
      <c r="H696" s="3"/>
      <c r="J696" s="3"/>
      <c r="L696" s="3"/>
      <c r="N696" s="3"/>
      <c r="P696" s="3"/>
      <c r="AG696" s="4"/>
    </row>
    <row r="697" s="2" customFormat="true" ht="12.8" hidden="false" customHeight="false" outlineLevel="0" collapsed="false">
      <c r="A697" s="1"/>
      <c r="H697" s="3"/>
      <c r="J697" s="3"/>
      <c r="L697" s="3"/>
      <c r="N697" s="3"/>
      <c r="P697" s="3"/>
      <c r="AG697" s="4"/>
    </row>
    <row r="698" s="2" customFormat="true" ht="12.8" hidden="false" customHeight="false" outlineLevel="0" collapsed="false">
      <c r="A698" s="1"/>
      <c r="H698" s="3"/>
      <c r="J698" s="3"/>
      <c r="L698" s="3"/>
      <c r="N698" s="3"/>
      <c r="P698" s="3"/>
      <c r="AG698" s="4"/>
    </row>
    <row r="699" s="2" customFormat="true" ht="12.8" hidden="false" customHeight="false" outlineLevel="0" collapsed="false">
      <c r="A699" s="1"/>
      <c r="H699" s="3"/>
      <c r="J699" s="3"/>
      <c r="L699" s="3"/>
      <c r="N699" s="3"/>
      <c r="P699" s="3"/>
      <c r="AG699" s="4"/>
    </row>
    <row r="700" s="2" customFormat="true" ht="12.8" hidden="false" customHeight="false" outlineLevel="0" collapsed="false">
      <c r="A700" s="1"/>
      <c r="H700" s="3"/>
      <c r="J700" s="3"/>
      <c r="L700" s="3"/>
      <c r="N700" s="3"/>
      <c r="P700" s="3"/>
      <c r="AG700" s="4"/>
    </row>
    <row r="701" s="2" customFormat="true" ht="12.8" hidden="false" customHeight="false" outlineLevel="0" collapsed="false">
      <c r="A701" s="1"/>
      <c r="H701" s="3"/>
      <c r="J701" s="3"/>
      <c r="L701" s="3"/>
      <c r="N701" s="3"/>
      <c r="P701" s="3"/>
      <c r="AG701" s="4"/>
    </row>
    <row r="702" s="2" customFormat="true" ht="12.8" hidden="false" customHeight="false" outlineLevel="0" collapsed="false">
      <c r="A702" s="1"/>
      <c r="H702" s="3"/>
      <c r="J702" s="3"/>
      <c r="L702" s="3"/>
      <c r="N702" s="3"/>
      <c r="P702" s="3"/>
      <c r="AG702" s="4"/>
    </row>
    <row r="703" s="2" customFormat="true" ht="12.8" hidden="false" customHeight="false" outlineLevel="0" collapsed="false">
      <c r="A703" s="1"/>
      <c r="H703" s="3"/>
      <c r="J703" s="3"/>
      <c r="L703" s="3"/>
      <c r="N703" s="3"/>
      <c r="P703" s="3"/>
      <c r="AG703" s="4"/>
    </row>
    <row r="704" s="2" customFormat="true" ht="12.8" hidden="false" customHeight="false" outlineLevel="0" collapsed="false">
      <c r="A704" s="1"/>
      <c r="H704" s="3"/>
      <c r="J704" s="3"/>
      <c r="L704" s="3"/>
      <c r="N704" s="3"/>
      <c r="P704" s="3"/>
      <c r="AG704" s="4"/>
    </row>
    <row r="705" s="2" customFormat="true" ht="12.8" hidden="false" customHeight="false" outlineLevel="0" collapsed="false">
      <c r="A705" s="1"/>
      <c r="H705" s="3"/>
      <c r="J705" s="3"/>
      <c r="L705" s="3"/>
      <c r="N705" s="3"/>
      <c r="P705" s="3"/>
      <c r="AG705" s="4"/>
    </row>
    <row r="706" s="2" customFormat="true" ht="12.8" hidden="false" customHeight="false" outlineLevel="0" collapsed="false">
      <c r="A706" s="1"/>
      <c r="H706" s="3"/>
      <c r="J706" s="3"/>
      <c r="L706" s="3"/>
      <c r="N706" s="3"/>
      <c r="P706" s="3"/>
      <c r="AG706" s="4"/>
    </row>
    <row r="707" s="2" customFormat="true" ht="12.8" hidden="false" customHeight="false" outlineLevel="0" collapsed="false">
      <c r="A707" s="1"/>
      <c r="H707" s="3"/>
      <c r="J707" s="3"/>
      <c r="L707" s="3"/>
      <c r="N707" s="3"/>
      <c r="P707" s="3"/>
      <c r="AG707" s="4"/>
    </row>
    <row r="708" s="2" customFormat="true" ht="12.8" hidden="false" customHeight="false" outlineLevel="0" collapsed="false">
      <c r="A708" s="1"/>
      <c r="H708" s="3"/>
      <c r="J708" s="3"/>
      <c r="L708" s="3"/>
      <c r="N708" s="3"/>
      <c r="P708" s="3"/>
      <c r="AG708" s="4"/>
    </row>
    <row r="709" s="2" customFormat="true" ht="12.8" hidden="false" customHeight="false" outlineLevel="0" collapsed="false">
      <c r="A709" s="1"/>
      <c r="H709" s="3"/>
      <c r="J709" s="3"/>
      <c r="L709" s="3"/>
      <c r="N709" s="3"/>
      <c r="P709" s="3"/>
      <c r="AG709" s="4"/>
    </row>
    <row r="710" s="2" customFormat="true" ht="12.8" hidden="false" customHeight="false" outlineLevel="0" collapsed="false">
      <c r="A710" s="1"/>
      <c r="H710" s="3"/>
      <c r="J710" s="3"/>
      <c r="L710" s="3"/>
      <c r="N710" s="3"/>
      <c r="P710" s="3"/>
      <c r="AG710" s="4"/>
    </row>
    <row r="711" s="2" customFormat="true" ht="12.8" hidden="false" customHeight="false" outlineLevel="0" collapsed="false">
      <c r="A711" s="1"/>
      <c r="H711" s="3"/>
      <c r="J711" s="3"/>
      <c r="L711" s="3"/>
      <c r="N711" s="3"/>
      <c r="P711" s="3"/>
      <c r="AG711" s="4"/>
    </row>
    <row r="712" s="2" customFormat="true" ht="12.8" hidden="false" customHeight="false" outlineLevel="0" collapsed="false">
      <c r="A712" s="1"/>
      <c r="H712" s="3"/>
      <c r="J712" s="3"/>
      <c r="L712" s="3"/>
      <c r="N712" s="3"/>
      <c r="P712" s="3"/>
      <c r="AG712" s="4"/>
    </row>
    <row r="713" s="2" customFormat="true" ht="12.8" hidden="false" customHeight="false" outlineLevel="0" collapsed="false">
      <c r="A713" s="1"/>
      <c r="H713" s="3"/>
      <c r="J713" s="3"/>
      <c r="L713" s="3"/>
      <c r="N713" s="3"/>
      <c r="P713" s="3"/>
      <c r="AG713" s="4"/>
    </row>
    <row r="714" s="2" customFormat="true" ht="12.8" hidden="false" customHeight="false" outlineLevel="0" collapsed="false">
      <c r="A714" s="1"/>
      <c r="H714" s="3"/>
      <c r="J714" s="3"/>
      <c r="L714" s="3"/>
      <c r="N714" s="3"/>
      <c r="P714" s="3"/>
      <c r="AG714" s="4"/>
    </row>
    <row r="715" s="2" customFormat="true" ht="12.8" hidden="false" customHeight="false" outlineLevel="0" collapsed="false">
      <c r="A715" s="1"/>
      <c r="H715" s="3"/>
      <c r="J715" s="3"/>
      <c r="L715" s="3"/>
      <c r="N715" s="3"/>
      <c r="P715" s="3"/>
      <c r="AG715" s="4"/>
    </row>
    <row r="716" s="2" customFormat="true" ht="12.8" hidden="false" customHeight="false" outlineLevel="0" collapsed="false">
      <c r="A716" s="1"/>
      <c r="H716" s="3"/>
      <c r="J716" s="3"/>
      <c r="L716" s="3"/>
      <c r="N716" s="3"/>
      <c r="P716" s="3"/>
      <c r="AG716" s="4"/>
    </row>
    <row r="717" s="2" customFormat="true" ht="12.8" hidden="false" customHeight="false" outlineLevel="0" collapsed="false">
      <c r="A717" s="1"/>
      <c r="H717" s="3"/>
      <c r="J717" s="3"/>
      <c r="L717" s="3"/>
      <c r="N717" s="3"/>
      <c r="P717" s="3"/>
      <c r="AG717" s="4"/>
    </row>
    <row r="718" s="2" customFormat="true" ht="12.8" hidden="false" customHeight="false" outlineLevel="0" collapsed="false">
      <c r="A718" s="1"/>
      <c r="H718" s="3"/>
      <c r="J718" s="3"/>
      <c r="L718" s="3"/>
      <c r="N718" s="3"/>
      <c r="P718" s="3"/>
      <c r="AG718" s="4"/>
    </row>
    <row r="719" s="2" customFormat="true" ht="12.8" hidden="false" customHeight="false" outlineLevel="0" collapsed="false">
      <c r="A719" s="1"/>
      <c r="H719" s="3"/>
      <c r="J719" s="3"/>
      <c r="L719" s="3"/>
      <c r="N719" s="3"/>
      <c r="P719" s="3"/>
      <c r="AG719" s="4"/>
    </row>
    <row r="720" s="2" customFormat="true" ht="12.8" hidden="false" customHeight="false" outlineLevel="0" collapsed="false">
      <c r="A720" s="1"/>
      <c r="H720" s="3"/>
      <c r="J720" s="3"/>
      <c r="L720" s="3"/>
      <c r="N720" s="3"/>
      <c r="P720" s="3"/>
      <c r="AG720" s="4"/>
    </row>
    <row r="721" s="2" customFormat="true" ht="12.8" hidden="false" customHeight="false" outlineLevel="0" collapsed="false">
      <c r="A721" s="1"/>
      <c r="H721" s="3"/>
      <c r="J721" s="3"/>
      <c r="L721" s="3"/>
      <c r="N721" s="3"/>
      <c r="P721" s="3"/>
      <c r="AG721" s="4"/>
    </row>
    <row r="722" s="2" customFormat="true" ht="12.8" hidden="false" customHeight="false" outlineLevel="0" collapsed="false">
      <c r="A722" s="1"/>
      <c r="H722" s="3"/>
      <c r="J722" s="3"/>
      <c r="L722" s="3"/>
      <c r="N722" s="3"/>
      <c r="P722" s="3"/>
      <c r="AG722" s="4"/>
    </row>
    <row r="723" s="2" customFormat="true" ht="12.8" hidden="false" customHeight="false" outlineLevel="0" collapsed="false">
      <c r="A723" s="1"/>
      <c r="H723" s="3"/>
      <c r="J723" s="3"/>
      <c r="L723" s="3"/>
      <c r="N723" s="3"/>
      <c r="P723" s="3"/>
      <c r="AG723" s="4"/>
    </row>
    <row r="724" s="2" customFormat="true" ht="12.8" hidden="false" customHeight="false" outlineLevel="0" collapsed="false">
      <c r="A724" s="1"/>
      <c r="H724" s="3"/>
      <c r="J724" s="3"/>
      <c r="L724" s="3"/>
      <c r="N724" s="3"/>
      <c r="P724" s="3"/>
      <c r="AG724" s="4"/>
    </row>
    <row r="725" s="2" customFormat="true" ht="12.8" hidden="false" customHeight="false" outlineLevel="0" collapsed="false">
      <c r="A725" s="1"/>
      <c r="H725" s="3"/>
      <c r="J725" s="3"/>
      <c r="L725" s="3"/>
      <c r="N725" s="3"/>
      <c r="P725" s="3"/>
      <c r="AG725" s="4"/>
    </row>
    <row r="726" s="2" customFormat="true" ht="12.8" hidden="false" customHeight="false" outlineLevel="0" collapsed="false">
      <c r="A726" s="1"/>
      <c r="H726" s="3"/>
      <c r="J726" s="3"/>
      <c r="L726" s="3"/>
      <c r="N726" s="3"/>
      <c r="P726" s="3"/>
      <c r="AG726" s="4"/>
    </row>
    <row r="727" s="2" customFormat="true" ht="12.8" hidden="false" customHeight="false" outlineLevel="0" collapsed="false">
      <c r="A727" s="1"/>
      <c r="H727" s="3"/>
      <c r="J727" s="3"/>
      <c r="L727" s="3"/>
      <c r="N727" s="3"/>
      <c r="P727" s="3"/>
      <c r="AG727" s="4"/>
    </row>
    <row r="728" s="2" customFormat="true" ht="12.8" hidden="false" customHeight="false" outlineLevel="0" collapsed="false">
      <c r="A728" s="1"/>
      <c r="H728" s="3"/>
      <c r="J728" s="3"/>
      <c r="L728" s="3"/>
      <c r="N728" s="3"/>
      <c r="P728" s="3"/>
      <c r="AG728" s="4"/>
    </row>
    <row r="729" s="2" customFormat="true" ht="12.8" hidden="false" customHeight="false" outlineLevel="0" collapsed="false">
      <c r="A729" s="1"/>
      <c r="H729" s="3"/>
      <c r="J729" s="3"/>
      <c r="L729" s="3"/>
      <c r="N729" s="3"/>
      <c r="P729" s="3"/>
      <c r="AG729" s="4"/>
    </row>
    <row r="730" s="2" customFormat="true" ht="12.8" hidden="false" customHeight="false" outlineLevel="0" collapsed="false">
      <c r="A730" s="1"/>
      <c r="H730" s="3"/>
      <c r="J730" s="3"/>
      <c r="L730" s="3"/>
      <c r="N730" s="3"/>
      <c r="P730" s="3"/>
      <c r="AG730" s="4"/>
    </row>
    <row r="731" s="2" customFormat="true" ht="12.8" hidden="false" customHeight="false" outlineLevel="0" collapsed="false">
      <c r="A731" s="1"/>
      <c r="H731" s="3"/>
      <c r="J731" s="3"/>
      <c r="L731" s="3"/>
      <c r="N731" s="3"/>
      <c r="P731" s="3"/>
      <c r="AG731" s="4"/>
    </row>
    <row r="732" s="2" customFormat="true" ht="12.8" hidden="false" customHeight="false" outlineLevel="0" collapsed="false">
      <c r="A732" s="1"/>
      <c r="H732" s="3"/>
      <c r="J732" s="3"/>
      <c r="L732" s="3"/>
      <c r="N732" s="3"/>
      <c r="P732" s="3"/>
      <c r="AG732" s="4"/>
    </row>
    <row r="733" s="2" customFormat="true" ht="12.8" hidden="false" customHeight="false" outlineLevel="0" collapsed="false">
      <c r="A733" s="1"/>
      <c r="H733" s="3"/>
      <c r="J733" s="3"/>
      <c r="L733" s="3"/>
      <c r="N733" s="3"/>
      <c r="P733" s="3"/>
      <c r="AG733" s="4"/>
    </row>
    <row r="734" s="2" customFormat="true" ht="12.8" hidden="false" customHeight="false" outlineLevel="0" collapsed="false">
      <c r="A734" s="1"/>
      <c r="H734" s="3"/>
      <c r="J734" s="3"/>
      <c r="L734" s="3"/>
      <c r="N734" s="3"/>
      <c r="P734" s="3"/>
      <c r="AG734" s="4"/>
    </row>
    <row r="735" s="2" customFormat="true" ht="12.8" hidden="false" customHeight="false" outlineLevel="0" collapsed="false">
      <c r="A735" s="1"/>
      <c r="H735" s="3"/>
      <c r="J735" s="3"/>
      <c r="L735" s="3"/>
      <c r="N735" s="3"/>
      <c r="P735" s="3"/>
      <c r="AG735" s="4"/>
    </row>
    <row r="736" s="2" customFormat="true" ht="12.8" hidden="false" customHeight="false" outlineLevel="0" collapsed="false">
      <c r="A736" s="1"/>
      <c r="H736" s="3"/>
      <c r="J736" s="3"/>
      <c r="L736" s="3"/>
      <c r="N736" s="3"/>
      <c r="P736" s="3"/>
      <c r="AG736" s="4"/>
    </row>
    <row r="737" s="2" customFormat="true" ht="12.8" hidden="false" customHeight="false" outlineLevel="0" collapsed="false">
      <c r="A737" s="1"/>
      <c r="H737" s="3"/>
      <c r="J737" s="3"/>
      <c r="L737" s="3"/>
      <c r="N737" s="3"/>
      <c r="P737" s="3"/>
      <c r="AG737" s="4"/>
    </row>
    <row r="738" s="2" customFormat="true" ht="12.8" hidden="false" customHeight="false" outlineLevel="0" collapsed="false">
      <c r="A738" s="1"/>
      <c r="H738" s="3"/>
      <c r="J738" s="3"/>
      <c r="L738" s="3"/>
      <c r="N738" s="3"/>
      <c r="P738" s="3"/>
      <c r="AG738" s="4"/>
    </row>
    <row r="739" s="2" customFormat="true" ht="12.8" hidden="false" customHeight="false" outlineLevel="0" collapsed="false">
      <c r="A739" s="1"/>
      <c r="H739" s="3"/>
      <c r="J739" s="3"/>
      <c r="L739" s="3"/>
      <c r="N739" s="3"/>
      <c r="P739" s="3"/>
      <c r="AG739" s="4"/>
    </row>
    <row r="740" s="2" customFormat="true" ht="12.8" hidden="false" customHeight="false" outlineLevel="0" collapsed="false">
      <c r="A740" s="1"/>
      <c r="H740" s="3"/>
      <c r="J740" s="3"/>
      <c r="L740" s="3"/>
      <c r="N740" s="3"/>
      <c r="P740" s="3"/>
      <c r="AG740" s="4"/>
    </row>
    <row r="741" s="2" customFormat="true" ht="12.8" hidden="false" customHeight="false" outlineLevel="0" collapsed="false">
      <c r="A741" s="1"/>
      <c r="H741" s="3"/>
      <c r="J741" s="3"/>
      <c r="L741" s="3"/>
      <c r="N741" s="3"/>
      <c r="P741" s="3"/>
      <c r="AG741" s="4"/>
    </row>
    <row r="742" s="2" customFormat="true" ht="12.8" hidden="false" customHeight="false" outlineLevel="0" collapsed="false">
      <c r="A742" s="1"/>
      <c r="H742" s="3"/>
      <c r="J742" s="3"/>
      <c r="L742" s="3"/>
      <c r="N742" s="3"/>
      <c r="P742" s="3"/>
      <c r="AG742" s="4"/>
    </row>
    <row r="743" s="2" customFormat="true" ht="12.8" hidden="false" customHeight="false" outlineLevel="0" collapsed="false">
      <c r="A743" s="1"/>
      <c r="H743" s="3"/>
      <c r="J743" s="3"/>
      <c r="L743" s="3"/>
      <c r="N743" s="3"/>
      <c r="P743" s="3"/>
      <c r="AG743" s="4"/>
    </row>
    <row r="744" s="2" customFormat="true" ht="12.8" hidden="false" customHeight="false" outlineLevel="0" collapsed="false">
      <c r="A744" s="1"/>
      <c r="H744" s="3"/>
      <c r="J744" s="3"/>
      <c r="L744" s="3"/>
      <c r="N744" s="3"/>
      <c r="P744" s="3"/>
      <c r="AG744" s="4"/>
    </row>
    <row r="745" s="2" customFormat="true" ht="12.8" hidden="false" customHeight="false" outlineLevel="0" collapsed="false">
      <c r="A745" s="1"/>
      <c r="H745" s="3"/>
      <c r="J745" s="3"/>
      <c r="L745" s="3"/>
      <c r="N745" s="3"/>
      <c r="P745" s="3"/>
      <c r="AG745" s="4"/>
    </row>
    <row r="746" s="2" customFormat="true" ht="12.8" hidden="false" customHeight="false" outlineLevel="0" collapsed="false">
      <c r="A746" s="1"/>
      <c r="H746" s="3"/>
      <c r="J746" s="3"/>
      <c r="L746" s="3"/>
      <c r="N746" s="3"/>
      <c r="P746" s="3"/>
      <c r="AG746" s="4"/>
    </row>
    <row r="747" s="2" customFormat="true" ht="12.8" hidden="false" customHeight="false" outlineLevel="0" collapsed="false">
      <c r="A747" s="1"/>
      <c r="H747" s="3"/>
      <c r="J747" s="3"/>
      <c r="L747" s="3"/>
      <c r="N747" s="3"/>
      <c r="P747" s="3"/>
      <c r="AG747" s="4"/>
    </row>
    <row r="748" s="2" customFormat="true" ht="12.8" hidden="false" customHeight="false" outlineLevel="0" collapsed="false">
      <c r="A748" s="1"/>
      <c r="H748" s="3"/>
      <c r="J748" s="3"/>
      <c r="L748" s="3"/>
      <c r="N748" s="3"/>
      <c r="P748" s="3"/>
      <c r="AG748" s="4"/>
    </row>
    <row r="749" s="2" customFormat="true" ht="12.8" hidden="false" customHeight="false" outlineLevel="0" collapsed="false">
      <c r="A749" s="1"/>
      <c r="H749" s="3"/>
      <c r="J749" s="3"/>
      <c r="L749" s="3"/>
      <c r="N749" s="3"/>
      <c r="P749" s="3"/>
      <c r="AG749" s="4"/>
    </row>
    <row r="750" s="2" customFormat="true" ht="12.8" hidden="false" customHeight="false" outlineLevel="0" collapsed="false">
      <c r="A750" s="1"/>
      <c r="H750" s="3"/>
      <c r="J750" s="3"/>
      <c r="L750" s="3"/>
      <c r="N750" s="3"/>
      <c r="P750" s="3"/>
      <c r="AG750" s="4"/>
    </row>
    <row r="751" s="2" customFormat="true" ht="12.8" hidden="false" customHeight="false" outlineLevel="0" collapsed="false">
      <c r="A751" s="1"/>
      <c r="H751" s="3"/>
      <c r="J751" s="3"/>
      <c r="L751" s="3"/>
      <c r="N751" s="3"/>
      <c r="P751" s="3"/>
      <c r="AG751" s="4"/>
    </row>
    <row r="752" s="2" customFormat="true" ht="12.8" hidden="false" customHeight="false" outlineLevel="0" collapsed="false">
      <c r="A752" s="1"/>
      <c r="H752" s="3"/>
      <c r="J752" s="3"/>
      <c r="L752" s="3"/>
      <c r="N752" s="3"/>
      <c r="P752" s="3"/>
      <c r="AG752" s="4"/>
    </row>
    <row r="753" s="2" customFormat="true" ht="12.8" hidden="false" customHeight="false" outlineLevel="0" collapsed="false">
      <c r="A753" s="1"/>
      <c r="H753" s="3"/>
      <c r="J753" s="3"/>
      <c r="L753" s="3"/>
      <c r="N753" s="3"/>
      <c r="P753" s="3"/>
      <c r="AG753" s="4"/>
    </row>
    <row r="754" s="2" customFormat="true" ht="12.8" hidden="false" customHeight="false" outlineLevel="0" collapsed="false">
      <c r="A754" s="1"/>
      <c r="H754" s="3"/>
      <c r="J754" s="3"/>
      <c r="L754" s="3"/>
      <c r="N754" s="3"/>
      <c r="P754" s="3"/>
      <c r="AG754" s="4"/>
    </row>
    <row r="755" s="2" customFormat="true" ht="12.8" hidden="false" customHeight="false" outlineLevel="0" collapsed="false">
      <c r="A755" s="1"/>
      <c r="H755" s="3"/>
      <c r="J755" s="3"/>
      <c r="L755" s="3"/>
      <c r="N755" s="3"/>
      <c r="P755" s="3"/>
      <c r="AG755" s="4"/>
    </row>
    <row r="756" s="2" customFormat="true" ht="12.8" hidden="false" customHeight="false" outlineLevel="0" collapsed="false">
      <c r="A756" s="1"/>
      <c r="H756" s="3"/>
      <c r="J756" s="3"/>
      <c r="L756" s="3"/>
      <c r="N756" s="3"/>
      <c r="P756" s="3"/>
      <c r="AG756" s="4"/>
    </row>
    <row r="757" s="2" customFormat="true" ht="12.8" hidden="false" customHeight="false" outlineLevel="0" collapsed="false">
      <c r="A757" s="1"/>
      <c r="H757" s="3"/>
      <c r="J757" s="3"/>
      <c r="L757" s="3"/>
      <c r="N757" s="3"/>
      <c r="P757" s="3"/>
      <c r="AG757" s="4"/>
    </row>
    <row r="758" s="2" customFormat="true" ht="12.8" hidden="false" customHeight="false" outlineLevel="0" collapsed="false">
      <c r="A758" s="1"/>
      <c r="H758" s="3"/>
      <c r="J758" s="3"/>
      <c r="L758" s="3"/>
      <c r="N758" s="3"/>
      <c r="P758" s="3"/>
      <c r="AG758" s="4"/>
    </row>
    <row r="759" s="2" customFormat="true" ht="12.8" hidden="false" customHeight="false" outlineLevel="0" collapsed="false">
      <c r="A759" s="1"/>
      <c r="H759" s="3"/>
      <c r="J759" s="3"/>
      <c r="L759" s="3"/>
      <c r="N759" s="3"/>
      <c r="P759" s="3"/>
      <c r="AG759" s="4"/>
    </row>
    <row r="760" s="2" customFormat="true" ht="12.8" hidden="false" customHeight="false" outlineLevel="0" collapsed="false">
      <c r="A760" s="1"/>
      <c r="H760" s="3"/>
      <c r="J760" s="3"/>
      <c r="L760" s="3"/>
      <c r="N760" s="3"/>
      <c r="P760" s="3"/>
      <c r="AG760" s="4"/>
    </row>
    <row r="761" s="2" customFormat="true" ht="12.8" hidden="false" customHeight="false" outlineLevel="0" collapsed="false">
      <c r="A761" s="1"/>
      <c r="H761" s="3"/>
      <c r="J761" s="3"/>
      <c r="L761" s="3"/>
      <c r="N761" s="3"/>
      <c r="P761" s="3"/>
      <c r="AG761" s="4"/>
    </row>
    <row r="762" s="2" customFormat="true" ht="12.8" hidden="false" customHeight="false" outlineLevel="0" collapsed="false">
      <c r="A762" s="1"/>
      <c r="H762" s="3"/>
      <c r="J762" s="3"/>
      <c r="L762" s="3"/>
      <c r="N762" s="3"/>
      <c r="P762" s="3"/>
      <c r="AG762" s="4"/>
    </row>
    <row r="763" s="2" customFormat="true" ht="12.8" hidden="false" customHeight="false" outlineLevel="0" collapsed="false">
      <c r="A763" s="1"/>
      <c r="H763" s="3"/>
      <c r="J763" s="3"/>
      <c r="L763" s="3"/>
      <c r="N763" s="3"/>
      <c r="P763" s="3"/>
      <c r="AG763" s="4"/>
    </row>
    <row r="764" s="2" customFormat="true" ht="12.8" hidden="false" customHeight="false" outlineLevel="0" collapsed="false">
      <c r="A764" s="1"/>
      <c r="H764" s="3"/>
      <c r="J764" s="3"/>
      <c r="L764" s="3"/>
      <c r="N764" s="3"/>
      <c r="P764" s="3"/>
      <c r="AG764" s="4"/>
    </row>
    <row r="765" s="2" customFormat="true" ht="12.8" hidden="false" customHeight="false" outlineLevel="0" collapsed="false">
      <c r="A765" s="1"/>
      <c r="H765" s="3"/>
      <c r="J765" s="3"/>
      <c r="L765" s="3"/>
      <c r="N765" s="3"/>
      <c r="P765" s="3"/>
      <c r="AG765" s="4"/>
    </row>
    <row r="766" s="2" customFormat="true" ht="12.8" hidden="false" customHeight="false" outlineLevel="0" collapsed="false">
      <c r="A766" s="1"/>
      <c r="H766" s="3"/>
      <c r="J766" s="3"/>
      <c r="L766" s="3"/>
      <c r="N766" s="3"/>
      <c r="P766" s="3"/>
      <c r="AG766" s="4"/>
    </row>
    <row r="767" s="2" customFormat="true" ht="12.8" hidden="false" customHeight="false" outlineLevel="0" collapsed="false">
      <c r="A767" s="1"/>
      <c r="H767" s="3"/>
      <c r="J767" s="3"/>
      <c r="L767" s="3"/>
      <c r="N767" s="3"/>
      <c r="P767" s="3"/>
      <c r="AG767" s="4"/>
    </row>
    <row r="768" s="2" customFormat="true" ht="12.8" hidden="false" customHeight="false" outlineLevel="0" collapsed="false">
      <c r="A768" s="1"/>
      <c r="H768" s="3"/>
      <c r="J768" s="3"/>
      <c r="L768" s="3"/>
      <c r="N768" s="3"/>
      <c r="P768" s="3"/>
      <c r="AG768" s="4"/>
    </row>
    <row r="769" s="2" customFormat="true" ht="12.8" hidden="false" customHeight="false" outlineLevel="0" collapsed="false">
      <c r="A769" s="1"/>
      <c r="H769" s="3"/>
      <c r="J769" s="3"/>
      <c r="L769" s="3"/>
      <c r="N769" s="3"/>
      <c r="P769" s="3"/>
      <c r="AG769" s="4"/>
    </row>
    <row r="770" s="2" customFormat="true" ht="12.8" hidden="false" customHeight="false" outlineLevel="0" collapsed="false">
      <c r="A770" s="1"/>
      <c r="H770" s="3"/>
      <c r="J770" s="3"/>
      <c r="L770" s="3"/>
      <c r="N770" s="3"/>
      <c r="P770" s="3"/>
      <c r="AG770" s="4"/>
    </row>
    <row r="771" s="2" customFormat="true" ht="12.8" hidden="false" customHeight="false" outlineLevel="0" collapsed="false">
      <c r="A771" s="1"/>
      <c r="H771" s="3"/>
      <c r="J771" s="3"/>
      <c r="L771" s="3"/>
      <c r="N771" s="3"/>
      <c r="P771" s="3"/>
      <c r="AG771" s="4"/>
    </row>
    <row r="772" s="2" customFormat="true" ht="12.8" hidden="false" customHeight="false" outlineLevel="0" collapsed="false">
      <c r="A772" s="1"/>
      <c r="H772" s="3"/>
      <c r="J772" s="3"/>
      <c r="L772" s="3"/>
      <c r="N772" s="3"/>
      <c r="P772" s="3"/>
      <c r="AG772" s="4"/>
    </row>
    <row r="773" s="2" customFormat="true" ht="12.8" hidden="false" customHeight="false" outlineLevel="0" collapsed="false">
      <c r="A773" s="1"/>
      <c r="H773" s="3"/>
      <c r="J773" s="3"/>
      <c r="L773" s="3"/>
      <c r="N773" s="3"/>
      <c r="P773" s="3"/>
      <c r="AG773" s="4"/>
    </row>
    <row r="774" s="2" customFormat="true" ht="12.8" hidden="false" customHeight="false" outlineLevel="0" collapsed="false">
      <c r="A774" s="1"/>
      <c r="H774" s="3"/>
      <c r="J774" s="3"/>
      <c r="L774" s="3"/>
      <c r="N774" s="3"/>
      <c r="P774" s="3"/>
      <c r="AG774" s="4"/>
    </row>
    <row r="775" s="2" customFormat="true" ht="12.8" hidden="false" customHeight="false" outlineLevel="0" collapsed="false">
      <c r="A775" s="1"/>
      <c r="H775" s="3"/>
      <c r="J775" s="3"/>
      <c r="L775" s="3"/>
      <c r="N775" s="3"/>
      <c r="P775" s="3"/>
      <c r="AG775" s="4"/>
    </row>
    <row r="776" s="2" customFormat="true" ht="12.8" hidden="false" customHeight="false" outlineLevel="0" collapsed="false">
      <c r="A776" s="1"/>
      <c r="H776" s="3"/>
      <c r="J776" s="3"/>
      <c r="L776" s="3"/>
      <c r="N776" s="3"/>
      <c r="P776" s="3"/>
      <c r="AG776" s="4"/>
    </row>
    <row r="777" s="2" customFormat="true" ht="12.8" hidden="false" customHeight="false" outlineLevel="0" collapsed="false">
      <c r="A777" s="1"/>
      <c r="H777" s="3"/>
      <c r="J777" s="3"/>
      <c r="L777" s="3"/>
      <c r="N777" s="3"/>
      <c r="P777" s="3"/>
      <c r="AG777" s="4"/>
    </row>
    <row r="778" s="2" customFormat="true" ht="12.8" hidden="false" customHeight="false" outlineLevel="0" collapsed="false">
      <c r="A778" s="1"/>
      <c r="H778" s="3"/>
      <c r="J778" s="3"/>
      <c r="L778" s="3"/>
      <c r="N778" s="3"/>
      <c r="P778" s="3"/>
      <c r="AG778" s="4"/>
    </row>
    <row r="779" s="2" customFormat="true" ht="12.8" hidden="false" customHeight="false" outlineLevel="0" collapsed="false">
      <c r="A779" s="1"/>
      <c r="H779" s="3"/>
      <c r="J779" s="3"/>
      <c r="L779" s="3"/>
      <c r="N779" s="3"/>
      <c r="P779" s="3"/>
      <c r="AG779" s="4"/>
    </row>
    <row r="780" s="2" customFormat="true" ht="12.8" hidden="false" customHeight="false" outlineLevel="0" collapsed="false">
      <c r="A780" s="1"/>
      <c r="H780" s="3"/>
      <c r="J780" s="3"/>
      <c r="L780" s="3"/>
      <c r="N780" s="3"/>
      <c r="P780" s="3"/>
      <c r="AG780" s="4"/>
    </row>
    <row r="781" s="2" customFormat="true" ht="12.8" hidden="false" customHeight="false" outlineLevel="0" collapsed="false">
      <c r="A781" s="1"/>
      <c r="H781" s="3"/>
      <c r="J781" s="3"/>
      <c r="L781" s="3"/>
      <c r="N781" s="3"/>
      <c r="P781" s="3"/>
      <c r="AG781" s="4"/>
    </row>
    <row r="782" s="2" customFormat="true" ht="12.8" hidden="false" customHeight="false" outlineLevel="0" collapsed="false">
      <c r="A782" s="1"/>
      <c r="H782" s="3"/>
      <c r="J782" s="3"/>
      <c r="L782" s="3"/>
      <c r="N782" s="3"/>
      <c r="P782" s="3"/>
      <c r="AG782" s="4"/>
    </row>
    <row r="783" s="2" customFormat="true" ht="12.8" hidden="false" customHeight="false" outlineLevel="0" collapsed="false">
      <c r="A783" s="1"/>
      <c r="H783" s="3"/>
      <c r="J783" s="3"/>
      <c r="L783" s="3"/>
      <c r="N783" s="3"/>
      <c r="P783" s="3"/>
      <c r="AG783" s="4"/>
    </row>
    <row r="784" s="2" customFormat="true" ht="12.8" hidden="false" customHeight="false" outlineLevel="0" collapsed="false">
      <c r="A784" s="1"/>
      <c r="H784" s="3"/>
      <c r="J784" s="3"/>
      <c r="L784" s="3"/>
      <c r="N784" s="3"/>
      <c r="P784" s="3"/>
      <c r="AG784" s="4"/>
    </row>
    <row r="785" s="2" customFormat="true" ht="12.8" hidden="false" customHeight="false" outlineLevel="0" collapsed="false">
      <c r="A785" s="1"/>
      <c r="H785" s="3"/>
      <c r="J785" s="3"/>
      <c r="L785" s="3"/>
      <c r="N785" s="3"/>
      <c r="P785" s="3"/>
      <c r="AG785" s="4"/>
    </row>
    <row r="786" s="2" customFormat="true" ht="12.8" hidden="false" customHeight="false" outlineLevel="0" collapsed="false">
      <c r="A786" s="1"/>
      <c r="H786" s="3"/>
      <c r="J786" s="3"/>
      <c r="L786" s="3"/>
      <c r="N786" s="3"/>
      <c r="P786" s="3"/>
      <c r="AG786" s="4"/>
    </row>
    <row r="787" s="2" customFormat="true" ht="12.8" hidden="false" customHeight="false" outlineLevel="0" collapsed="false">
      <c r="A787" s="1"/>
      <c r="H787" s="3"/>
      <c r="J787" s="3"/>
      <c r="L787" s="3"/>
      <c r="N787" s="3"/>
      <c r="P787" s="3"/>
      <c r="AG787" s="4"/>
    </row>
    <row r="788" s="2" customFormat="true" ht="12.8" hidden="false" customHeight="false" outlineLevel="0" collapsed="false">
      <c r="A788" s="1"/>
      <c r="H788" s="3"/>
      <c r="J788" s="3"/>
      <c r="L788" s="3"/>
      <c r="N788" s="3"/>
      <c r="P788" s="3"/>
      <c r="AG788" s="4"/>
    </row>
    <row r="789" s="2" customFormat="true" ht="12.8" hidden="false" customHeight="false" outlineLevel="0" collapsed="false">
      <c r="A789" s="1"/>
      <c r="H789" s="3"/>
      <c r="J789" s="3"/>
      <c r="L789" s="3"/>
      <c r="N789" s="3"/>
      <c r="P789" s="3"/>
      <c r="AG789" s="4"/>
    </row>
    <row r="790" s="2" customFormat="true" ht="12.8" hidden="false" customHeight="false" outlineLevel="0" collapsed="false">
      <c r="A790" s="1"/>
      <c r="H790" s="3"/>
      <c r="J790" s="3"/>
      <c r="L790" s="3"/>
      <c r="N790" s="3"/>
      <c r="P790" s="3"/>
      <c r="AG790" s="4"/>
    </row>
    <row r="791" s="2" customFormat="true" ht="12.8" hidden="false" customHeight="false" outlineLevel="0" collapsed="false">
      <c r="A791" s="1"/>
      <c r="H791" s="3"/>
      <c r="J791" s="3"/>
      <c r="L791" s="3"/>
      <c r="N791" s="3"/>
      <c r="P791" s="3"/>
      <c r="AG791" s="4"/>
    </row>
    <row r="792" s="2" customFormat="true" ht="12.8" hidden="false" customHeight="false" outlineLevel="0" collapsed="false">
      <c r="A792" s="1"/>
      <c r="H792" s="3"/>
      <c r="J792" s="3"/>
      <c r="L792" s="3"/>
      <c r="N792" s="3"/>
      <c r="P792" s="3"/>
      <c r="AG792" s="4"/>
    </row>
    <row r="793" s="2" customFormat="true" ht="12.8" hidden="false" customHeight="false" outlineLevel="0" collapsed="false">
      <c r="A793" s="1"/>
      <c r="H793" s="3"/>
      <c r="J793" s="3"/>
      <c r="L793" s="3"/>
      <c r="N793" s="3"/>
      <c r="P793" s="3"/>
      <c r="AG793" s="4"/>
    </row>
    <row r="794" s="2" customFormat="true" ht="12.8" hidden="false" customHeight="false" outlineLevel="0" collapsed="false">
      <c r="A794" s="1"/>
      <c r="H794" s="3"/>
      <c r="J794" s="3"/>
      <c r="L794" s="3"/>
      <c r="N794" s="3"/>
      <c r="P794" s="3"/>
      <c r="AG794" s="4"/>
    </row>
    <row r="795" s="2" customFormat="true" ht="12.8" hidden="false" customHeight="false" outlineLevel="0" collapsed="false">
      <c r="A795" s="1"/>
      <c r="H795" s="3"/>
      <c r="J795" s="3"/>
      <c r="L795" s="3"/>
      <c r="N795" s="3"/>
      <c r="P795" s="3"/>
      <c r="AG795" s="4"/>
    </row>
    <row r="796" s="2" customFormat="true" ht="12.8" hidden="false" customHeight="false" outlineLevel="0" collapsed="false">
      <c r="A796" s="1"/>
      <c r="H796" s="3"/>
      <c r="J796" s="3"/>
      <c r="L796" s="3"/>
      <c r="N796" s="3"/>
      <c r="P796" s="3"/>
      <c r="AG796" s="4"/>
    </row>
    <row r="797" s="2" customFormat="true" ht="12.8" hidden="false" customHeight="false" outlineLevel="0" collapsed="false">
      <c r="A797" s="1"/>
      <c r="H797" s="3"/>
      <c r="J797" s="3"/>
      <c r="L797" s="3"/>
      <c r="N797" s="3"/>
      <c r="P797" s="3"/>
      <c r="AG797" s="4"/>
    </row>
    <row r="798" s="2" customFormat="true" ht="12.8" hidden="false" customHeight="false" outlineLevel="0" collapsed="false">
      <c r="A798" s="1"/>
      <c r="H798" s="3"/>
      <c r="J798" s="3"/>
      <c r="L798" s="3"/>
      <c r="N798" s="3"/>
      <c r="P798" s="3"/>
      <c r="AG798" s="4"/>
    </row>
    <row r="799" s="2" customFormat="true" ht="12.8" hidden="false" customHeight="false" outlineLevel="0" collapsed="false">
      <c r="A799" s="1"/>
      <c r="H799" s="3"/>
      <c r="J799" s="3"/>
      <c r="L799" s="3"/>
      <c r="N799" s="3"/>
      <c r="P799" s="3"/>
      <c r="AG799" s="4"/>
    </row>
    <row r="800" s="2" customFormat="true" ht="12.8" hidden="false" customHeight="false" outlineLevel="0" collapsed="false">
      <c r="A800" s="1"/>
      <c r="H800" s="3"/>
      <c r="J800" s="3"/>
      <c r="L800" s="3"/>
      <c r="N800" s="3"/>
      <c r="P800" s="3"/>
      <c r="AG800" s="4"/>
    </row>
    <row r="801" s="2" customFormat="true" ht="12.8" hidden="false" customHeight="false" outlineLevel="0" collapsed="false">
      <c r="A801" s="1"/>
      <c r="H801" s="3"/>
      <c r="J801" s="3"/>
      <c r="L801" s="3"/>
      <c r="N801" s="3"/>
      <c r="P801" s="3"/>
      <c r="AG801" s="4"/>
    </row>
    <row r="802" s="2" customFormat="true" ht="12.8" hidden="false" customHeight="false" outlineLevel="0" collapsed="false">
      <c r="A802" s="1"/>
      <c r="H802" s="3"/>
      <c r="J802" s="3"/>
      <c r="L802" s="3"/>
      <c r="N802" s="3"/>
      <c r="P802" s="3"/>
      <c r="AG802" s="4"/>
    </row>
    <row r="803" s="2" customFormat="true" ht="12.8" hidden="false" customHeight="false" outlineLevel="0" collapsed="false">
      <c r="A803" s="1"/>
      <c r="H803" s="3"/>
      <c r="J803" s="3"/>
      <c r="L803" s="3"/>
      <c r="N803" s="3"/>
      <c r="P803" s="3"/>
      <c r="AG803" s="4"/>
    </row>
    <row r="804" s="2" customFormat="true" ht="12.8" hidden="false" customHeight="false" outlineLevel="0" collapsed="false">
      <c r="A804" s="1"/>
      <c r="H804" s="3"/>
      <c r="J804" s="3"/>
      <c r="L804" s="3"/>
      <c r="N804" s="3"/>
      <c r="P804" s="3"/>
      <c r="AG804" s="4"/>
    </row>
    <row r="805" s="2" customFormat="true" ht="12.8" hidden="false" customHeight="false" outlineLevel="0" collapsed="false">
      <c r="A805" s="1"/>
      <c r="H805" s="3"/>
      <c r="J805" s="3"/>
      <c r="L805" s="3"/>
      <c r="N805" s="3"/>
      <c r="P805" s="3"/>
      <c r="AG805" s="4"/>
    </row>
    <row r="806" s="2" customFormat="true" ht="12.8" hidden="false" customHeight="false" outlineLevel="0" collapsed="false">
      <c r="A806" s="1"/>
      <c r="H806" s="3"/>
      <c r="J806" s="3"/>
      <c r="L806" s="3"/>
      <c r="N806" s="3"/>
      <c r="P806" s="3"/>
      <c r="AG806" s="4"/>
    </row>
    <row r="807" s="2" customFormat="true" ht="12.8" hidden="false" customHeight="false" outlineLevel="0" collapsed="false">
      <c r="A807" s="1"/>
      <c r="H807" s="3"/>
      <c r="J807" s="3"/>
      <c r="L807" s="3"/>
      <c r="N807" s="3"/>
      <c r="P807" s="3"/>
      <c r="AG807" s="4"/>
    </row>
    <row r="808" s="2" customFormat="true" ht="12.8" hidden="false" customHeight="false" outlineLevel="0" collapsed="false">
      <c r="A808" s="1"/>
      <c r="H808" s="3"/>
      <c r="J808" s="3"/>
      <c r="L808" s="3"/>
      <c r="N808" s="3"/>
      <c r="P808" s="3"/>
      <c r="AG808" s="4"/>
    </row>
    <row r="809" s="2" customFormat="true" ht="12.8" hidden="false" customHeight="false" outlineLevel="0" collapsed="false">
      <c r="A809" s="1"/>
      <c r="H809" s="3"/>
      <c r="J809" s="3"/>
      <c r="L809" s="3"/>
      <c r="N809" s="3"/>
      <c r="P809" s="3"/>
      <c r="AG809" s="4"/>
    </row>
    <row r="810" s="2" customFormat="true" ht="12.8" hidden="false" customHeight="false" outlineLevel="0" collapsed="false">
      <c r="A810" s="1"/>
      <c r="H810" s="3"/>
      <c r="J810" s="3"/>
      <c r="L810" s="3"/>
      <c r="N810" s="3"/>
      <c r="P810" s="3"/>
      <c r="AG810" s="4"/>
    </row>
    <row r="811" s="2" customFormat="true" ht="12.8" hidden="false" customHeight="false" outlineLevel="0" collapsed="false">
      <c r="A811" s="1"/>
      <c r="H811" s="3"/>
      <c r="J811" s="3"/>
      <c r="L811" s="3"/>
      <c r="N811" s="3"/>
      <c r="P811" s="3"/>
      <c r="AG811" s="4"/>
    </row>
    <row r="812" s="2" customFormat="true" ht="12.8" hidden="false" customHeight="false" outlineLevel="0" collapsed="false">
      <c r="A812" s="1"/>
      <c r="H812" s="3"/>
      <c r="J812" s="3"/>
      <c r="L812" s="3"/>
      <c r="N812" s="3"/>
      <c r="P812" s="3"/>
      <c r="AG812" s="4"/>
    </row>
    <row r="813" s="2" customFormat="true" ht="12.8" hidden="false" customHeight="false" outlineLevel="0" collapsed="false">
      <c r="A813" s="1"/>
      <c r="H813" s="3"/>
      <c r="J813" s="3"/>
      <c r="L813" s="3"/>
      <c r="N813" s="3"/>
      <c r="P813" s="3"/>
      <c r="AG813" s="4"/>
    </row>
    <row r="814" s="2" customFormat="true" ht="12.8" hidden="false" customHeight="false" outlineLevel="0" collapsed="false">
      <c r="A814" s="1"/>
      <c r="H814" s="3"/>
      <c r="J814" s="3"/>
      <c r="L814" s="3"/>
      <c r="N814" s="3"/>
      <c r="P814" s="3"/>
      <c r="AG814" s="4"/>
    </row>
    <row r="815" s="2" customFormat="true" ht="12.8" hidden="false" customHeight="false" outlineLevel="0" collapsed="false">
      <c r="A815" s="1"/>
      <c r="H815" s="3"/>
      <c r="J815" s="3"/>
      <c r="L815" s="3"/>
      <c r="N815" s="3"/>
      <c r="P815" s="3"/>
      <c r="AG815" s="4"/>
    </row>
    <row r="816" s="2" customFormat="true" ht="12.8" hidden="false" customHeight="false" outlineLevel="0" collapsed="false">
      <c r="A816" s="1"/>
      <c r="H816" s="3"/>
      <c r="J816" s="3"/>
      <c r="L816" s="3"/>
      <c r="N816" s="3"/>
      <c r="P816" s="3"/>
      <c r="AG816" s="4"/>
    </row>
    <row r="817" s="2" customFormat="true" ht="12.8" hidden="false" customHeight="false" outlineLevel="0" collapsed="false">
      <c r="A817" s="1"/>
      <c r="H817" s="3"/>
      <c r="J817" s="3"/>
      <c r="L817" s="3"/>
      <c r="N817" s="3"/>
      <c r="P817" s="3"/>
      <c r="AG817" s="4"/>
    </row>
    <row r="818" s="2" customFormat="true" ht="12.8" hidden="false" customHeight="false" outlineLevel="0" collapsed="false">
      <c r="A818" s="1"/>
      <c r="H818" s="3"/>
      <c r="J818" s="3"/>
      <c r="L818" s="3"/>
      <c r="N818" s="3"/>
      <c r="P818" s="3"/>
      <c r="AG818" s="4"/>
    </row>
    <row r="819" s="2" customFormat="true" ht="12.8" hidden="false" customHeight="false" outlineLevel="0" collapsed="false">
      <c r="A819" s="1"/>
      <c r="H819" s="3"/>
      <c r="J819" s="3"/>
      <c r="L819" s="3"/>
      <c r="N819" s="3"/>
      <c r="P819" s="3"/>
      <c r="AG819" s="4"/>
    </row>
    <row r="820" s="2" customFormat="true" ht="12.8" hidden="false" customHeight="false" outlineLevel="0" collapsed="false">
      <c r="A820" s="1"/>
      <c r="H820" s="3"/>
      <c r="J820" s="3"/>
      <c r="L820" s="3"/>
      <c r="N820" s="3"/>
      <c r="P820" s="3"/>
      <c r="AG820" s="4"/>
    </row>
    <row r="821" s="2" customFormat="true" ht="12.8" hidden="false" customHeight="false" outlineLevel="0" collapsed="false">
      <c r="A821" s="1"/>
      <c r="H821" s="3"/>
      <c r="J821" s="3"/>
      <c r="L821" s="3"/>
      <c r="N821" s="3"/>
      <c r="P821" s="3"/>
      <c r="AG821" s="4"/>
    </row>
    <row r="822" s="2" customFormat="true" ht="12.8" hidden="false" customHeight="false" outlineLevel="0" collapsed="false">
      <c r="A822" s="1"/>
      <c r="H822" s="3"/>
      <c r="J822" s="3"/>
      <c r="L822" s="3"/>
      <c r="N822" s="3"/>
      <c r="P822" s="3"/>
      <c r="AG822" s="4"/>
    </row>
    <row r="823" s="2" customFormat="true" ht="12.8" hidden="false" customHeight="false" outlineLevel="0" collapsed="false">
      <c r="A823" s="1"/>
      <c r="H823" s="3"/>
      <c r="J823" s="3"/>
      <c r="L823" s="3"/>
      <c r="N823" s="3"/>
      <c r="P823" s="3"/>
      <c r="AG823" s="4"/>
    </row>
    <row r="824" s="2" customFormat="true" ht="12.8" hidden="false" customHeight="false" outlineLevel="0" collapsed="false">
      <c r="A824" s="1"/>
      <c r="H824" s="3"/>
      <c r="J824" s="3"/>
      <c r="L824" s="3"/>
      <c r="N824" s="3"/>
      <c r="P824" s="3"/>
      <c r="AG824" s="4"/>
    </row>
    <row r="825" s="2" customFormat="true" ht="12.8" hidden="false" customHeight="false" outlineLevel="0" collapsed="false">
      <c r="A825" s="1"/>
      <c r="H825" s="3"/>
      <c r="J825" s="3"/>
      <c r="L825" s="3"/>
      <c r="N825" s="3"/>
      <c r="P825" s="3"/>
      <c r="AG825" s="4"/>
    </row>
    <row r="826" s="2" customFormat="true" ht="12.8" hidden="false" customHeight="false" outlineLevel="0" collapsed="false">
      <c r="A826" s="1"/>
      <c r="H826" s="3"/>
      <c r="J826" s="3"/>
      <c r="L826" s="3"/>
      <c r="N826" s="3"/>
      <c r="P826" s="3"/>
      <c r="AG826" s="4"/>
    </row>
    <row r="827" s="2" customFormat="true" ht="12.8" hidden="false" customHeight="false" outlineLevel="0" collapsed="false">
      <c r="A827" s="1"/>
      <c r="H827" s="3"/>
      <c r="J827" s="3"/>
      <c r="L827" s="3"/>
      <c r="N827" s="3"/>
      <c r="P827" s="3"/>
      <c r="AG827" s="4"/>
    </row>
    <row r="828" s="2" customFormat="true" ht="12.8" hidden="false" customHeight="false" outlineLevel="0" collapsed="false">
      <c r="A828" s="1"/>
      <c r="H828" s="3"/>
      <c r="J828" s="3"/>
      <c r="L828" s="3"/>
      <c r="N828" s="3"/>
      <c r="P828" s="3"/>
      <c r="AG828" s="4"/>
    </row>
    <row r="829" s="2" customFormat="true" ht="12.8" hidden="false" customHeight="false" outlineLevel="0" collapsed="false">
      <c r="A829" s="1"/>
      <c r="H829" s="3"/>
      <c r="J829" s="3"/>
      <c r="L829" s="3"/>
      <c r="N829" s="3"/>
      <c r="P829" s="3"/>
      <c r="AG829" s="4"/>
    </row>
    <row r="830" s="2" customFormat="true" ht="12.8" hidden="false" customHeight="false" outlineLevel="0" collapsed="false">
      <c r="A830" s="1"/>
      <c r="H830" s="3"/>
      <c r="J830" s="3"/>
      <c r="L830" s="3"/>
      <c r="N830" s="3"/>
      <c r="P830" s="3"/>
      <c r="AG830" s="4"/>
    </row>
    <row r="831" s="2" customFormat="true" ht="12.8" hidden="false" customHeight="false" outlineLevel="0" collapsed="false">
      <c r="A831" s="1"/>
      <c r="H831" s="3"/>
      <c r="J831" s="3"/>
      <c r="L831" s="3"/>
      <c r="N831" s="3"/>
      <c r="P831" s="3"/>
      <c r="AG831" s="4"/>
    </row>
    <row r="832" s="2" customFormat="true" ht="12.8" hidden="false" customHeight="false" outlineLevel="0" collapsed="false">
      <c r="A832" s="1"/>
      <c r="H832" s="3"/>
      <c r="J832" s="3"/>
      <c r="L832" s="3"/>
      <c r="N832" s="3"/>
      <c r="P832" s="3"/>
      <c r="AG832" s="4"/>
    </row>
    <row r="833" s="2" customFormat="true" ht="12.8" hidden="false" customHeight="false" outlineLevel="0" collapsed="false">
      <c r="A833" s="1"/>
      <c r="H833" s="3"/>
      <c r="J833" s="3"/>
      <c r="L833" s="3"/>
      <c r="N833" s="3"/>
      <c r="P833" s="3"/>
      <c r="AG833" s="4"/>
    </row>
    <row r="834" s="2" customFormat="true" ht="12.8" hidden="false" customHeight="false" outlineLevel="0" collapsed="false">
      <c r="A834" s="1"/>
      <c r="H834" s="3"/>
      <c r="J834" s="3"/>
      <c r="L834" s="3"/>
      <c r="N834" s="3"/>
      <c r="P834" s="3"/>
      <c r="AG834" s="4"/>
    </row>
    <row r="835" s="2" customFormat="true" ht="12.8" hidden="false" customHeight="false" outlineLevel="0" collapsed="false">
      <c r="A835" s="1"/>
      <c r="H835" s="3"/>
      <c r="J835" s="3"/>
      <c r="L835" s="3"/>
      <c r="N835" s="3"/>
      <c r="P835" s="3"/>
      <c r="AG835" s="4"/>
    </row>
    <row r="836" s="2" customFormat="true" ht="12.8" hidden="false" customHeight="false" outlineLevel="0" collapsed="false">
      <c r="A836" s="1"/>
      <c r="H836" s="3"/>
      <c r="J836" s="3"/>
      <c r="L836" s="3"/>
      <c r="N836" s="3"/>
      <c r="P836" s="3"/>
      <c r="AG836" s="4"/>
    </row>
    <row r="837" s="2" customFormat="true" ht="12.8" hidden="false" customHeight="false" outlineLevel="0" collapsed="false">
      <c r="A837" s="1"/>
      <c r="H837" s="3"/>
      <c r="J837" s="3"/>
      <c r="L837" s="3"/>
      <c r="N837" s="3"/>
      <c r="P837" s="3"/>
      <c r="AG837" s="4"/>
    </row>
    <row r="838" s="2" customFormat="true" ht="12.8" hidden="false" customHeight="false" outlineLevel="0" collapsed="false">
      <c r="A838" s="1"/>
      <c r="H838" s="3"/>
      <c r="J838" s="3"/>
      <c r="L838" s="3"/>
      <c r="N838" s="3"/>
      <c r="P838" s="3"/>
      <c r="AG838" s="4"/>
    </row>
    <row r="839" s="2" customFormat="true" ht="12.8" hidden="false" customHeight="false" outlineLevel="0" collapsed="false">
      <c r="A839" s="1"/>
      <c r="H839" s="3"/>
      <c r="J839" s="3"/>
      <c r="L839" s="3"/>
      <c r="N839" s="3"/>
      <c r="P839" s="3"/>
      <c r="AG839" s="4"/>
    </row>
    <row r="840" s="2" customFormat="true" ht="12.8" hidden="false" customHeight="false" outlineLevel="0" collapsed="false">
      <c r="A840" s="1"/>
      <c r="H840" s="3"/>
      <c r="J840" s="3"/>
      <c r="L840" s="3"/>
      <c r="N840" s="3"/>
      <c r="P840" s="3"/>
      <c r="AG840" s="4"/>
    </row>
    <row r="841" s="2" customFormat="true" ht="12.8" hidden="false" customHeight="false" outlineLevel="0" collapsed="false">
      <c r="A841" s="1"/>
      <c r="H841" s="3"/>
      <c r="J841" s="3"/>
      <c r="L841" s="3"/>
      <c r="N841" s="3"/>
      <c r="P841" s="3"/>
      <c r="AG841" s="4"/>
    </row>
    <row r="842" s="2" customFormat="true" ht="12.8" hidden="false" customHeight="false" outlineLevel="0" collapsed="false">
      <c r="A842" s="1"/>
      <c r="H842" s="3"/>
      <c r="J842" s="3"/>
      <c r="L842" s="3"/>
      <c r="N842" s="3"/>
      <c r="P842" s="3"/>
      <c r="AG842" s="4"/>
    </row>
    <row r="843" s="2" customFormat="true" ht="12.8" hidden="false" customHeight="false" outlineLevel="0" collapsed="false">
      <c r="A843" s="1"/>
      <c r="H843" s="3"/>
      <c r="J843" s="3"/>
      <c r="L843" s="3"/>
      <c r="N843" s="3"/>
      <c r="P843" s="3"/>
      <c r="AG843" s="4"/>
    </row>
    <row r="844" s="2" customFormat="true" ht="12.8" hidden="false" customHeight="false" outlineLevel="0" collapsed="false">
      <c r="A844" s="1"/>
      <c r="H844" s="3"/>
      <c r="J844" s="3"/>
      <c r="L844" s="3"/>
      <c r="N844" s="3"/>
      <c r="P844" s="3"/>
      <c r="AG844" s="4"/>
    </row>
    <row r="845" s="2" customFormat="true" ht="12.8" hidden="false" customHeight="false" outlineLevel="0" collapsed="false">
      <c r="A845" s="1"/>
      <c r="H845" s="3"/>
      <c r="J845" s="3"/>
      <c r="L845" s="3"/>
      <c r="N845" s="3"/>
      <c r="P845" s="3"/>
      <c r="AG845" s="4"/>
    </row>
    <row r="846" s="2" customFormat="true" ht="12.8" hidden="false" customHeight="false" outlineLevel="0" collapsed="false">
      <c r="A846" s="1"/>
      <c r="H846" s="3"/>
      <c r="J846" s="3"/>
      <c r="L846" s="3"/>
      <c r="N846" s="3"/>
      <c r="P846" s="3"/>
      <c r="AG846" s="4"/>
    </row>
    <row r="847" s="2" customFormat="true" ht="12.8" hidden="false" customHeight="false" outlineLevel="0" collapsed="false">
      <c r="A847" s="1"/>
      <c r="H847" s="3"/>
      <c r="J847" s="3"/>
      <c r="L847" s="3"/>
      <c r="N847" s="3"/>
      <c r="P847" s="3"/>
      <c r="AG847" s="4"/>
    </row>
    <row r="848" s="2" customFormat="true" ht="12.8" hidden="false" customHeight="false" outlineLevel="0" collapsed="false">
      <c r="A848" s="1"/>
      <c r="H848" s="3"/>
      <c r="J848" s="3"/>
      <c r="L848" s="3"/>
      <c r="N848" s="3"/>
      <c r="P848" s="3"/>
      <c r="AG848" s="4"/>
    </row>
    <row r="849" s="2" customFormat="true" ht="12.8" hidden="false" customHeight="false" outlineLevel="0" collapsed="false">
      <c r="A849" s="1"/>
      <c r="H849" s="3"/>
      <c r="J849" s="3"/>
      <c r="L849" s="3"/>
      <c r="N849" s="3"/>
      <c r="P849" s="3"/>
      <c r="AG849" s="4"/>
    </row>
    <row r="850" s="2" customFormat="true" ht="12.8" hidden="false" customHeight="false" outlineLevel="0" collapsed="false">
      <c r="A850" s="1"/>
      <c r="H850" s="3"/>
      <c r="J850" s="3"/>
      <c r="L850" s="3"/>
      <c r="N850" s="3"/>
      <c r="P850" s="3"/>
      <c r="AG850" s="4"/>
    </row>
    <row r="851" s="2" customFormat="true" ht="12.8" hidden="false" customHeight="false" outlineLevel="0" collapsed="false">
      <c r="A851" s="1"/>
      <c r="H851" s="3"/>
      <c r="J851" s="3"/>
      <c r="L851" s="3"/>
      <c r="N851" s="3"/>
      <c r="P851" s="3"/>
      <c r="AG851" s="4"/>
    </row>
    <row r="852" s="2" customFormat="true" ht="12.8" hidden="false" customHeight="false" outlineLevel="0" collapsed="false">
      <c r="A852" s="1"/>
      <c r="H852" s="3"/>
      <c r="J852" s="3"/>
      <c r="L852" s="3"/>
      <c r="N852" s="3"/>
      <c r="P852" s="3"/>
      <c r="AG852" s="4"/>
    </row>
    <row r="853" s="2" customFormat="true" ht="12.8" hidden="false" customHeight="false" outlineLevel="0" collapsed="false">
      <c r="A853" s="1"/>
      <c r="H853" s="3"/>
      <c r="J853" s="3"/>
      <c r="L853" s="3"/>
      <c r="N853" s="3"/>
      <c r="P853" s="3"/>
      <c r="AG853" s="4"/>
    </row>
    <row r="854" s="2" customFormat="true" ht="12.8" hidden="false" customHeight="false" outlineLevel="0" collapsed="false">
      <c r="A854" s="1"/>
      <c r="H854" s="3"/>
      <c r="J854" s="3"/>
      <c r="L854" s="3"/>
      <c r="N854" s="3"/>
      <c r="P854" s="3"/>
      <c r="AG854" s="4"/>
    </row>
    <row r="855" s="2" customFormat="true" ht="12.8" hidden="false" customHeight="false" outlineLevel="0" collapsed="false">
      <c r="A855" s="1"/>
      <c r="H855" s="3"/>
      <c r="J855" s="3"/>
      <c r="L855" s="3"/>
      <c r="N855" s="3"/>
      <c r="P855" s="3"/>
      <c r="AG855" s="4"/>
    </row>
    <row r="856" s="2" customFormat="true" ht="12.8" hidden="false" customHeight="false" outlineLevel="0" collapsed="false">
      <c r="A856" s="1"/>
      <c r="H856" s="3"/>
      <c r="J856" s="3"/>
      <c r="L856" s="3"/>
      <c r="N856" s="3"/>
      <c r="P856" s="3"/>
      <c r="AG856" s="4"/>
    </row>
    <row r="857" s="2" customFormat="true" ht="12.8" hidden="false" customHeight="false" outlineLevel="0" collapsed="false">
      <c r="A857" s="1"/>
      <c r="H857" s="3"/>
      <c r="J857" s="3"/>
      <c r="L857" s="3"/>
      <c r="N857" s="3"/>
      <c r="P857" s="3"/>
      <c r="AG857" s="4"/>
    </row>
    <row r="858" s="2" customFormat="true" ht="12.8" hidden="false" customHeight="false" outlineLevel="0" collapsed="false">
      <c r="A858" s="1"/>
      <c r="H858" s="3"/>
      <c r="J858" s="3"/>
      <c r="L858" s="3"/>
      <c r="N858" s="3"/>
      <c r="P858" s="3"/>
      <c r="AG858" s="4"/>
    </row>
    <row r="859" s="2" customFormat="true" ht="12.8" hidden="false" customHeight="false" outlineLevel="0" collapsed="false">
      <c r="A859" s="1"/>
      <c r="H859" s="3"/>
      <c r="J859" s="3"/>
      <c r="L859" s="3"/>
      <c r="N859" s="3"/>
      <c r="P859" s="3"/>
      <c r="AG859" s="4"/>
    </row>
    <row r="860" s="2" customFormat="true" ht="12.8" hidden="false" customHeight="false" outlineLevel="0" collapsed="false">
      <c r="A860" s="1"/>
      <c r="H860" s="3"/>
      <c r="J860" s="3"/>
      <c r="L860" s="3"/>
      <c r="N860" s="3"/>
      <c r="P860" s="3"/>
      <c r="AG860" s="4"/>
    </row>
    <row r="861" s="2" customFormat="true" ht="12.8" hidden="false" customHeight="false" outlineLevel="0" collapsed="false">
      <c r="A861" s="1"/>
      <c r="H861" s="3"/>
      <c r="J861" s="3"/>
      <c r="L861" s="3"/>
      <c r="N861" s="3"/>
      <c r="P861" s="3"/>
      <c r="AG861" s="4"/>
    </row>
    <row r="862" s="2" customFormat="true" ht="12.8" hidden="false" customHeight="false" outlineLevel="0" collapsed="false">
      <c r="A862" s="1"/>
      <c r="H862" s="3"/>
      <c r="J862" s="3"/>
      <c r="L862" s="3"/>
      <c r="N862" s="3"/>
      <c r="P862" s="3"/>
      <c r="AG862" s="4"/>
    </row>
    <row r="863" s="2" customFormat="true" ht="12.8" hidden="false" customHeight="false" outlineLevel="0" collapsed="false">
      <c r="A863" s="1"/>
      <c r="H863" s="3"/>
      <c r="J863" s="3"/>
      <c r="L863" s="3"/>
      <c r="N863" s="3"/>
      <c r="P863" s="3"/>
      <c r="AG863" s="4"/>
    </row>
    <row r="864" s="2" customFormat="true" ht="12.8" hidden="false" customHeight="false" outlineLevel="0" collapsed="false">
      <c r="A864" s="1"/>
      <c r="H864" s="3"/>
      <c r="J864" s="3"/>
      <c r="L864" s="3"/>
      <c r="N864" s="3"/>
      <c r="P864" s="3"/>
      <c r="AG864" s="4"/>
    </row>
    <row r="865" s="2" customFormat="true" ht="12.8" hidden="false" customHeight="false" outlineLevel="0" collapsed="false">
      <c r="A865" s="1"/>
      <c r="H865" s="3"/>
      <c r="J865" s="3"/>
      <c r="L865" s="3"/>
      <c r="N865" s="3"/>
      <c r="P865" s="3"/>
      <c r="AG865" s="4"/>
    </row>
    <row r="866" s="2" customFormat="true" ht="12.8" hidden="false" customHeight="false" outlineLevel="0" collapsed="false">
      <c r="A866" s="1"/>
      <c r="H866" s="3"/>
      <c r="J866" s="3"/>
      <c r="L866" s="3"/>
      <c r="N866" s="3"/>
      <c r="P866" s="3"/>
      <c r="AG866" s="4"/>
    </row>
    <row r="867" s="2" customFormat="true" ht="12.8" hidden="false" customHeight="false" outlineLevel="0" collapsed="false">
      <c r="A867" s="1"/>
      <c r="H867" s="3"/>
      <c r="J867" s="3"/>
      <c r="L867" s="3"/>
      <c r="N867" s="3"/>
      <c r="P867" s="3"/>
      <c r="AG867" s="4"/>
    </row>
    <row r="868" s="2" customFormat="true" ht="12.8" hidden="false" customHeight="false" outlineLevel="0" collapsed="false">
      <c r="A868" s="1"/>
      <c r="H868" s="3"/>
      <c r="J868" s="3"/>
      <c r="L868" s="3"/>
      <c r="N868" s="3"/>
      <c r="P868" s="3"/>
      <c r="AG868" s="4"/>
    </row>
    <row r="869" s="2" customFormat="true" ht="12.8" hidden="false" customHeight="false" outlineLevel="0" collapsed="false">
      <c r="A869" s="1"/>
      <c r="H869" s="3"/>
      <c r="J869" s="3"/>
      <c r="L869" s="3"/>
      <c r="N869" s="3"/>
      <c r="P869" s="3"/>
      <c r="AG869" s="4"/>
    </row>
    <row r="870" s="2" customFormat="true" ht="12.8" hidden="false" customHeight="false" outlineLevel="0" collapsed="false">
      <c r="A870" s="1"/>
      <c r="H870" s="3"/>
      <c r="J870" s="3"/>
      <c r="L870" s="3"/>
      <c r="N870" s="3"/>
      <c r="P870" s="3"/>
      <c r="AG870" s="4"/>
    </row>
    <row r="871" s="2" customFormat="true" ht="12.8" hidden="false" customHeight="false" outlineLevel="0" collapsed="false">
      <c r="A871" s="1"/>
      <c r="H871" s="3"/>
      <c r="J871" s="3"/>
      <c r="L871" s="3"/>
      <c r="N871" s="3"/>
      <c r="P871" s="3"/>
      <c r="AG871" s="4"/>
    </row>
    <row r="872" s="2" customFormat="true" ht="12.8" hidden="false" customHeight="false" outlineLevel="0" collapsed="false">
      <c r="A872" s="1"/>
      <c r="H872" s="3"/>
      <c r="J872" s="3"/>
      <c r="L872" s="3"/>
      <c r="N872" s="3"/>
      <c r="P872" s="3"/>
      <c r="AG872" s="4"/>
    </row>
    <row r="873" s="2" customFormat="true" ht="12.8" hidden="false" customHeight="false" outlineLevel="0" collapsed="false">
      <c r="A873" s="1"/>
      <c r="H873" s="3"/>
      <c r="J873" s="3"/>
      <c r="L873" s="3"/>
      <c r="N873" s="3"/>
      <c r="P873" s="3"/>
      <c r="AG873" s="4"/>
    </row>
    <row r="874" s="2" customFormat="true" ht="12.8" hidden="false" customHeight="false" outlineLevel="0" collapsed="false">
      <c r="A874" s="1"/>
      <c r="H874" s="3"/>
      <c r="J874" s="3"/>
      <c r="L874" s="3"/>
      <c r="N874" s="3"/>
      <c r="P874" s="3"/>
      <c r="AG874" s="4"/>
    </row>
    <row r="875" s="2" customFormat="true" ht="12.8" hidden="false" customHeight="false" outlineLevel="0" collapsed="false">
      <c r="A875" s="1"/>
      <c r="H875" s="3"/>
      <c r="J875" s="3"/>
      <c r="L875" s="3"/>
      <c r="N875" s="3"/>
      <c r="P875" s="3"/>
      <c r="AG875" s="4"/>
    </row>
    <row r="876" s="2" customFormat="true" ht="12.8" hidden="false" customHeight="false" outlineLevel="0" collapsed="false">
      <c r="A876" s="1"/>
      <c r="H876" s="3"/>
      <c r="J876" s="3"/>
      <c r="L876" s="3"/>
      <c r="N876" s="3"/>
      <c r="P876" s="3"/>
      <c r="AG876" s="4"/>
    </row>
    <row r="877" s="2" customFormat="true" ht="12.8" hidden="false" customHeight="false" outlineLevel="0" collapsed="false">
      <c r="A877" s="1"/>
      <c r="H877" s="3"/>
      <c r="J877" s="3"/>
      <c r="L877" s="3"/>
      <c r="N877" s="3"/>
      <c r="P877" s="3"/>
      <c r="AG877" s="4"/>
    </row>
    <row r="878" s="2" customFormat="true" ht="12.8" hidden="false" customHeight="false" outlineLevel="0" collapsed="false">
      <c r="A878" s="1"/>
      <c r="H878" s="3"/>
      <c r="J878" s="3"/>
      <c r="L878" s="3"/>
      <c r="N878" s="3"/>
      <c r="P878" s="3"/>
      <c r="AG878" s="4"/>
    </row>
    <row r="879" s="2" customFormat="true" ht="12.8" hidden="false" customHeight="false" outlineLevel="0" collapsed="false">
      <c r="A879" s="1"/>
      <c r="H879" s="3"/>
      <c r="J879" s="3"/>
      <c r="L879" s="3"/>
      <c r="N879" s="3"/>
      <c r="P879" s="3"/>
      <c r="AG879" s="4"/>
    </row>
    <row r="880" s="2" customFormat="true" ht="12.8" hidden="false" customHeight="false" outlineLevel="0" collapsed="false">
      <c r="A880" s="1"/>
      <c r="H880" s="3"/>
      <c r="J880" s="3"/>
      <c r="L880" s="3"/>
      <c r="N880" s="3"/>
      <c r="P880" s="3"/>
      <c r="AG880" s="4"/>
    </row>
    <row r="881" s="2" customFormat="true" ht="12.8" hidden="false" customHeight="false" outlineLevel="0" collapsed="false">
      <c r="A881" s="1"/>
      <c r="H881" s="3"/>
      <c r="J881" s="3"/>
      <c r="L881" s="3"/>
      <c r="N881" s="3"/>
      <c r="P881" s="3"/>
      <c r="AG881" s="4"/>
    </row>
    <row r="882" s="2" customFormat="true" ht="12.8" hidden="false" customHeight="false" outlineLevel="0" collapsed="false">
      <c r="A882" s="1"/>
      <c r="H882" s="3"/>
      <c r="J882" s="3"/>
      <c r="L882" s="3"/>
      <c r="N882" s="3"/>
      <c r="P882" s="3"/>
      <c r="AG882" s="4"/>
    </row>
    <row r="883" s="2" customFormat="true" ht="12.8" hidden="false" customHeight="false" outlineLevel="0" collapsed="false">
      <c r="A883" s="1"/>
      <c r="H883" s="3"/>
      <c r="J883" s="3"/>
      <c r="L883" s="3"/>
      <c r="N883" s="3"/>
      <c r="P883" s="3"/>
      <c r="AG883" s="4"/>
    </row>
    <row r="884" s="2" customFormat="true" ht="12.8" hidden="false" customHeight="false" outlineLevel="0" collapsed="false">
      <c r="A884" s="1"/>
      <c r="H884" s="3"/>
      <c r="J884" s="3"/>
      <c r="L884" s="3"/>
      <c r="N884" s="3"/>
      <c r="P884" s="3"/>
      <c r="AG884" s="4"/>
    </row>
    <row r="885" s="2" customFormat="true" ht="12.8" hidden="false" customHeight="false" outlineLevel="0" collapsed="false">
      <c r="A885" s="1"/>
      <c r="H885" s="3"/>
      <c r="J885" s="3"/>
      <c r="L885" s="3"/>
      <c r="N885" s="3"/>
      <c r="P885" s="3"/>
      <c r="AG885" s="4"/>
    </row>
    <row r="886" s="2" customFormat="true" ht="12.8" hidden="false" customHeight="false" outlineLevel="0" collapsed="false">
      <c r="A886" s="1"/>
      <c r="H886" s="3"/>
      <c r="J886" s="3"/>
      <c r="L886" s="3"/>
      <c r="N886" s="3"/>
      <c r="P886" s="3"/>
      <c r="AG886" s="4"/>
    </row>
    <row r="887" s="2" customFormat="true" ht="12.8" hidden="false" customHeight="false" outlineLevel="0" collapsed="false">
      <c r="A887" s="1"/>
      <c r="H887" s="3"/>
      <c r="J887" s="3"/>
      <c r="L887" s="3"/>
      <c r="N887" s="3"/>
      <c r="P887" s="3"/>
      <c r="AG887" s="4"/>
    </row>
    <row r="888" s="2" customFormat="true" ht="12.8" hidden="false" customHeight="false" outlineLevel="0" collapsed="false">
      <c r="A888" s="1"/>
      <c r="H888" s="3"/>
      <c r="J888" s="3"/>
      <c r="L888" s="3"/>
      <c r="N888" s="3"/>
      <c r="P888" s="3"/>
      <c r="AG888" s="4"/>
    </row>
    <row r="889" s="2" customFormat="true" ht="12.8" hidden="false" customHeight="false" outlineLevel="0" collapsed="false">
      <c r="A889" s="1"/>
      <c r="H889" s="3"/>
      <c r="J889" s="3"/>
      <c r="L889" s="3"/>
      <c r="N889" s="3"/>
      <c r="P889" s="3"/>
      <c r="AG889" s="4"/>
    </row>
    <row r="890" s="2" customFormat="true" ht="12.8" hidden="false" customHeight="false" outlineLevel="0" collapsed="false">
      <c r="A890" s="1"/>
      <c r="H890" s="3"/>
      <c r="J890" s="3"/>
      <c r="L890" s="3"/>
      <c r="N890" s="3"/>
      <c r="P890" s="3"/>
      <c r="AG890" s="4"/>
    </row>
    <row r="891" s="2" customFormat="true" ht="12.8" hidden="false" customHeight="false" outlineLevel="0" collapsed="false">
      <c r="A891" s="1"/>
      <c r="H891" s="3"/>
      <c r="J891" s="3"/>
      <c r="L891" s="3"/>
      <c r="N891" s="3"/>
      <c r="P891" s="3"/>
      <c r="AG891" s="4"/>
    </row>
    <row r="892" s="2" customFormat="true" ht="12.8" hidden="false" customHeight="false" outlineLevel="0" collapsed="false">
      <c r="A892" s="1"/>
      <c r="H892" s="3"/>
      <c r="J892" s="3"/>
      <c r="L892" s="3"/>
      <c r="N892" s="3"/>
      <c r="P892" s="3"/>
      <c r="AG892" s="4"/>
    </row>
    <row r="893" s="2" customFormat="true" ht="12.8" hidden="false" customHeight="false" outlineLevel="0" collapsed="false">
      <c r="A893" s="1"/>
      <c r="H893" s="3"/>
      <c r="J893" s="3"/>
      <c r="L893" s="3"/>
      <c r="N893" s="3"/>
      <c r="P893" s="3"/>
      <c r="AG893" s="4"/>
    </row>
    <row r="894" s="2" customFormat="true" ht="12.8" hidden="false" customHeight="false" outlineLevel="0" collapsed="false">
      <c r="A894" s="1"/>
      <c r="H894" s="3"/>
      <c r="J894" s="3"/>
      <c r="L894" s="3"/>
      <c r="N894" s="3"/>
      <c r="P894" s="3"/>
      <c r="AG894" s="4"/>
    </row>
    <row r="895" s="2" customFormat="true" ht="12.8" hidden="false" customHeight="false" outlineLevel="0" collapsed="false">
      <c r="A895" s="1"/>
      <c r="H895" s="3"/>
      <c r="J895" s="3"/>
      <c r="L895" s="3"/>
      <c r="N895" s="3"/>
      <c r="P895" s="3"/>
      <c r="AG895" s="4"/>
    </row>
    <row r="896" s="2" customFormat="true" ht="12.8" hidden="false" customHeight="false" outlineLevel="0" collapsed="false">
      <c r="A896" s="1"/>
      <c r="H896" s="3"/>
      <c r="J896" s="3"/>
      <c r="L896" s="3"/>
      <c r="N896" s="3"/>
      <c r="P896" s="3"/>
      <c r="AG896" s="4"/>
    </row>
    <row r="897" s="2" customFormat="true" ht="12.8" hidden="false" customHeight="false" outlineLevel="0" collapsed="false">
      <c r="A897" s="1"/>
      <c r="H897" s="3"/>
      <c r="J897" s="3"/>
      <c r="L897" s="3"/>
      <c r="N897" s="3"/>
      <c r="P897" s="3"/>
      <c r="AG897" s="4"/>
    </row>
    <row r="898" s="2" customFormat="true" ht="12.8" hidden="false" customHeight="false" outlineLevel="0" collapsed="false">
      <c r="A898" s="1"/>
      <c r="H898" s="3"/>
      <c r="J898" s="3"/>
      <c r="L898" s="3"/>
      <c r="N898" s="3"/>
      <c r="P898" s="3"/>
      <c r="AG898" s="4"/>
    </row>
    <row r="899" s="2" customFormat="true" ht="12.8" hidden="false" customHeight="false" outlineLevel="0" collapsed="false">
      <c r="A899" s="1"/>
      <c r="H899" s="3"/>
      <c r="J899" s="3"/>
      <c r="L899" s="3"/>
      <c r="N899" s="3"/>
      <c r="P899" s="3"/>
      <c r="AG899" s="4"/>
    </row>
    <row r="900" s="2" customFormat="true" ht="12.8" hidden="false" customHeight="false" outlineLevel="0" collapsed="false">
      <c r="A900" s="1"/>
      <c r="H900" s="3"/>
      <c r="J900" s="3"/>
      <c r="L900" s="3"/>
      <c r="N900" s="3"/>
      <c r="P900" s="3"/>
      <c r="AG900" s="4"/>
    </row>
    <row r="901" s="2" customFormat="true" ht="12.8" hidden="false" customHeight="false" outlineLevel="0" collapsed="false">
      <c r="A901" s="1"/>
      <c r="H901" s="3"/>
      <c r="J901" s="3"/>
      <c r="L901" s="3"/>
      <c r="N901" s="3"/>
      <c r="P901" s="3"/>
      <c r="AG901" s="4"/>
    </row>
    <row r="902" s="2" customFormat="true" ht="12.8" hidden="false" customHeight="false" outlineLevel="0" collapsed="false">
      <c r="A902" s="1"/>
      <c r="H902" s="3"/>
      <c r="J902" s="3"/>
      <c r="L902" s="3"/>
      <c r="N902" s="3"/>
      <c r="P902" s="3"/>
      <c r="AG902" s="4"/>
    </row>
    <row r="903" s="2" customFormat="true" ht="12.8" hidden="false" customHeight="false" outlineLevel="0" collapsed="false">
      <c r="A903" s="1"/>
      <c r="H903" s="3"/>
      <c r="J903" s="3"/>
      <c r="L903" s="3"/>
      <c r="N903" s="3"/>
      <c r="P903" s="3"/>
      <c r="AG903" s="4"/>
    </row>
    <row r="904" s="2" customFormat="true" ht="12.8" hidden="false" customHeight="false" outlineLevel="0" collapsed="false">
      <c r="A904" s="1"/>
      <c r="H904" s="3"/>
      <c r="J904" s="3"/>
      <c r="L904" s="3"/>
      <c r="N904" s="3"/>
      <c r="P904" s="3"/>
      <c r="AG904" s="4"/>
    </row>
    <row r="905" s="2" customFormat="true" ht="12.8" hidden="false" customHeight="false" outlineLevel="0" collapsed="false">
      <c r="A905" s="1"/>
      <c r="H905" s="3"/>
      <c r="J905" s="3"/>
      <c r="L905" s="3"/>
      <c r="N905" s="3"/>
      <c r="P905" s="3"/>
      <c r="AG905" s="4"/>
    </row>
    <row r="906" s="2" customFormat="true" ht="12.8" hidden="false" customHeight="false" outlineLevel="0" collapsed="false">
      <c r="A906" s="1"/>
      <c r="H906" s="3"/>
      <c r="J906" s="3"/>
      <c r="L906" s="3"/>
      <c r="N906" s="3"/>
      <c r="P906" s="3"/>
      <c r="AG906" s="4"/>
    </row>
    <row r="907" s="2" customFormat="true" ht="12.8" hidden="false" customHeight="false" outlineLevel="0" collapsed="false">
      <c r="A907" s="1"/>
      <c r="H907" s="3"/>
      <c r="J907" s="3"/>
      <c r="L907" s="3"/>
      <c r="N907" s="3"/>
      <c r="P907" s="3"/>
      <c r="AG907" s="4"/>
    </row>
    <row r="908" s="2" customFormat="true" ht="12.8" hidden="false" customHeight="false" outlineLevel="0" collapsed="false">
      <c r="A908" s="1"/>
      <c r="H908" s="3"/>
      <c r="J908" s="3"/>
      <c r="L908" s="3"/>
      <c r="N908" s="3"/>
      <c r="P908" s="3"/>
      <c r="AG908" s="4"/>
    </row>
    <row r="909" s="2" customFormat="true" ht="12.8" hidden="false" customHeight="false" outlineLevel="0" collapsed="false">
      <c r="A909" s="1"/>
      <c r="H909" s="3"/>
      <c r="J909" s="3"/>
      <c r="L909" s="3"/>
      <c r="N909" s="3"/>
      <c r="P909" s="3"/>
      <c r="AG909" s="4"/>
    </row>
    <row r="910" s="2" customFormat="true" ht="12.8" hidden="false" customHeight="false" outlineLevel="0" collapsed="false">
      <c r="A910" s="1"/>
      <c r="H910" s="3"/>
      <c r="J910" s="3"/>
      <c r="L910" s="3"/>
      <c r="N910" s="3"/>
      <c r="P910" s="3"/>
      <c r="AG910" s="4"/>
    </row>
    <row r="911" s="2" customFormat="true" ht="12.8" hidden="false" customHeight="false" outlineLevel="0" collapsed="false">
      <c r="A911" s="1"/>
      <c r="H911" s="3"/>
      <c r="J911" s="3"/>
      <c r="L911" s="3"/>
      <c r="N911" s="3"/>
      <c r="P911" s="3"/>
      <c r="AG911" s="4"/>
    </row>
    <row r="912" s="2" customFormat="true" ht="12.8" hidden="false" customHeight="false" outlineLevel="0" collapsed="false">
      <c r="A912" s="1"/>
      <c r="H912" s="3"/>
      <c r="J912" s="3"/>
      <c r="L912" s="3"/>
      <c r="N912" s="3"/>
      <c r="P912" s="3"/>
      <c r="AG912" s="4"/>
    </row>
    <row r="913" s="2" customFormat="true" ht="12.8" hidden="false" customHeight="false" outlineLevel="0" collapsed="false">
      <c r="A913" s="1"/>
      <c r="H913" s="3"/>
      <c r="J913" s="3"/>
      <c r="L913" s="3"/>
      <c r="N913" s="3"/>
      <c r="P913" s="3"/>
      <c r="AG913" s="4"/>
    </row>
    <row r="914" s="2" customFormat="true" ht="12.8" hidden="false" customHeight="false" outlineLevel="0" collapsed="false">
      <c r="A914" s="1"/>
      <c r="H914" s="3"/>
      <c r="J914" s="3"/>
      <c r="L914" s="3"/>
      <c r="N914" s="3"/>
      <c r="P914" s="3"/>
      <c r="AG914" s="4"/>
    </row>
    <row r="915" s="2" customFormat="true" ht="12.8" hidden="false" customHeight="false" outlineLevel="0" collapsed="false">
      <c r="A915" s="1"/>
      <c r="H915" s="3"/>
      <c r="J915" s="3"/>
      <c r="L915" s="3"/>
      <c r="N915" s="3"/>
      <c r="P915" s="3"/>
      <c r="AG915" s="4"/>
    </row>
    <row r="916" s="2" customFormat="true" ht="12.8" hidden="false" customHeight="false" outlineLevel="0" collapsed="false">
      <c r="A916" s="1"/>
      <c r="H916" s="3"/>
      <c r="J916" s="3"/>
      <c r="L916" s="3"/>
      <c r="N916" s="3"/>
      <c r="P916" s="3"/>
      <c r="AG916" s="4"/>
    </row>
    <row r="917" s="2" customFormat="true" ht="12.8" hidden="false" customHeight="false" outlineLevel="0" collapsed="false">
      <c r="A917" s="1"/>
      <c r="H917" s="3"/>
      <c r="J917" s="3"/>
      <c r="L917" s="3"/>
      <c r="N917" s="3"/>
      <c r="P917" s="3"/>
      <c r="AG917" s="4"/>
    </row>
    <row r="918" s="2" customFormat="true" ht="12.8" hidden="false" customHeight="false" outlineLevel="0" collapsed="false">
      <c r="A918" s="1"/>
      <c r="H918" s="3"/>
      <c r="J918" s="3"/>
      <c r="L918" s="3"/>
      <c r="N918" s="3"/>
      <c r="P918" s="3"/>
      <c r="AG918" s="4"/>
    </row>
    <row r="919" s="2" customFormat="true" ht="12.8" hidden="false" customHeight="false" outlineLevel="0" collapsed="false">
      <c r="A919" s="1"/>
      <c r="H919" s="3"/>
      <c r="J919" s="3"/>
      <c r="L919" s="3"/>
      <c r="N919" s="3"/>
      <c r="P919" s="3"/>
      <c r="AG919" s="4"/>
    </row>
    <row r="920" s="2" customFormat="true" ht="12.8" hidden="false" customHeight="false" outlineLevel="0" collapsed="false">
      <c r="A920" s="1"/>
      <c r="H920" s="3"/>
      <c r="J920" s="3"/>
      <c r="L920" s="3"/>
      <c r="N920" s="3"/>
      <c r="P920" s="3"/>
      <c r="AG920" s="4"/>
    </row>
    <row r="921" s="2" customFormat="true" ht="12.8" hidden="false" customHeight="false" outlineLevel="0" collapsed="false">
      <c r="A921" s="1"/>
      <c r="H921" s="3"/>
      <c r="J921" s="3"/>
      <c r="L921" s="3"/>
      <c r="N921" s="3"/>
      <c r="P921" s="3"/>
      <c r="AG921" s="4"/>
    </row>
    <row r="922" s="2" customFormat="true" ht="12.8" hidden="false" customHeight="false" outlineLevel="0" collapsed="false">
      <c r="A922" s="1"/>
      <c r="H922" s="3"/>
      <c r="J922" s="3"/>
      <c r="L922" s="3"/>
      <c r="N922" s="3"/>
      <c r="P922" s="3"/>
      <c r="AG922" s="4"/>
    </row>
    <row r="923" s="2" customFormat="true" ht="12.8" hidden="false" customHeight="false" outlineLevel="0" collapsed="false">
      <c r="A923" s="1"/>
      <c r="H923" s="3"/>
      <c r="J923" s="3"/>
      <c r="L923" s="3"/>
      <c r="N923" s="3"/>
      <c r="P923" s="3"/>
      <c r="AG923" s="4"/>
    </row>
    <row r="924" s="2" customFormat="true" ht="12.8" hidden="false" customHeight="false" outlineLevel="0" collapsed="false">
      <c r="A924" s="1"/>
      <c r="H924" s="3"/>
      <c r="J924" s="3"/>
      <c r="L924" s="3"/>
      <c r="N924" s="3"/>
      <c r="P924" s="3"/>
      <c r="AG924" s="4"/>
    </row>
    <row r="925" s="2" customFormat="true" ht="12.8" hidden="false" customHeight="false" outlineLevel="0" collapsed="false">
      <c r="A925" s="1"/>
      <c r="H925" s="3"/>
      <c r="J925" s="3"/>
      <c r="L925" s="3"/>
      <c r="N925" s="3"/>
      <c r="P925" s="3"/>
      <c r="AG925" s="4"/>
    </row>
    <row r="926" s="2" customFormat="true" ht="12.8" hidden="false" customHeight="false" outlineLevel="0" collapsed="false">
      <c r="A926" s="1"/>
      <c r="H926" s="3"/>
      <c r="J926" s="3"/>
      <c r="L926" s="3"/>
      <c r="N926" s="3"/>
      <c r="P926" s="3"/>
      <c r="AG926" s="4"/>
    </row>
    <row r="927" s="2" customFormat="true" ht="12.8" hidden="false" customHeight="false" outlineLevel="0" collapsed="false">
      <c r="A927" s="1"/>
      <c r="H927" s="3"/>
      <c r="J927" s="3"/>
      <c r="L927" s="3"/>
      <c r="N927" s="3"/>
      <c r="P927" s="3"/>
      <c r="AG927" s="4"/>
    </row>
    <row r="928" s="2" customFormat="true" ht="12.8" hidden="false" customHeight="false" outlineLevel="0" collapsed="false">
      <c r="A928" s="1"/>
      <c r="H928" s="3"/>
      <c r="J928" s="3"/>
      <c r="L928" s="3"/>
      <c r="N928" s="3"/>
      <c r="P928" s="3"/>
      <c r="AG928" s="4"/>
    </row>
    <row r="929" s="2" customFormat="true" ht="12.8" hidden="false" customHeight="false" outlineLevel="0" collapsed="false">
      <c r="A929" s="1"/>
      <c r="H929" s="3"/>
      <c r="J929" s="3"/>
      <c r="L929" s="3"/>
      <c r="N929" s="3"/>
      <c r="P929" s="3"/>
      <c r="AG929" s="4"/>
    </row>
    <row r="930" s="2" customFormat="true" ht="12.8" hidden="false" customHeight="false" outlineLevel="0" collapsed="false">
      <c r="A930" s="1"/>
      <c r="H930" s="3"/>
      <c r="J930" s="3"/>
      <c r="L930" s="3"/>
      <c r="N930" s="3"/>
      <c r="P930" s="3"/>
      <c r="AG930" s="4"/>
    </row>
    <row r="931" s="2" customFormat="true" ht="12.8" hidden="false" customHeight="false" outlineLevel="0" collapsed="false">
      <c r="A931" s="1"/>
      <c r="H931" s="3"/>
      <c r="J931" s="3"/>
      <c r="L931" s="3"/>
      <c r="N931" s="3"/>
      <c r="P931" s="3"/>
      <c r="AG931" s="4"/>
    </row>
    <row r="932" s="2" customFormat="true" ht="12.8" hidden="false" customHeight="false" outlineLevel="0" collapsed="false">
      <c r="A932" s="1"/>
      <c r="H932" s="3"/>
      <c r="J932" s="3"/>
      <c r="L932" s="3"/>
      <c r="N932" s="3"/>
      <c r="P932" s="3"/>
      <c r="AG932" s="4"/>
    </row>
    <row r="933" s="2" customFormat="true" ht="12.8" hidden="false" customHeight="false" outlineLevel="0" collapsed="false">
      <c r="A933" s="1"/>
      <c r="H933" s="3"/>
      <c r="J933" s="3"/>
      <c r="L933" s="3"/>
      <c r="N933" s="3"/>
      <c r="P933" s="3"/>
      <c r="AG933" s="4"/>
    </row>
    <row r="934" s="2" customFormat="true" ht="12.8" hidden="false" customHeight="false" outlineLevel="0" collapsed="false">
      <c r="A934" s="1"/>
      <c r="H934" s="3"/>
      <c r="J934" s="3"/>
      <c r="L934" s="3"/>
      <c r="N934" s="3"/>
      <c r="P934" s="3"/>
      <c r="AG934" s="4"/>
    </row>
    <row r="935" s="2" customFormat="true" ht="12.8" hidden="false" customHeight="false" outlineLevel="0" collapsed="false">
      <c r="A935" s="1"/>
      <c r="H935" s="3"/>
      <c r="J935" s="3"/>
      <c r="L935" s="3"/>
      <c r="N935" s="3"/>
      <c r="P935" s="3"/>
      <c r="AG935" s="4"/>
    </row>
    <row r="936" s="2" customFormat="true" ht="12.8" hidden="false" customHeight="false" outlineLevel="0" collapsed="false">
      <c r="A936" s="1"/>
      <c r="H936" s="3"/>
      <c r="J936" s="3"/>
      <c r="L936" s="3"/>
      <c r="N936" s="3"/>
      <c r="P936" s="3"/>
      <c r="AG936" s="4"/>
    </row>
    <row r="937" s="2" customFormat="true" ht="12.8" hidden="false" customHeight="false" outlineLevel="0" collapsed="false">
      <c r="A937" s="1"/>
      <c r="H937" s="3"/>
      <c r="J937" s="3"/>
      <c r="L937" s="3"/>
      <c r="N937" s="3"/>
      <c r="P937" s="3"/>
      <c r="AG937" s="4"/>
    </row>
    <row r="938" s="2" customFormat="true" ht="12.8" hidden="false" customHeight="false" outlineLevel="0" collapsed="false">
      <c r="A938" s="1"/>
      <c r="H938" s="3"/>
      <c r="J938" s="3"/>
      <c r="L938" s="3"/>
      <c r="N938" s="3"/>
      <c r="P938" s="3"/>
      <c r="AG938" s="4"/>
    </row>
    <row r="939" s="2" customFormat="true" ht="12.8" hidden="false" customHeight="false" outlineLevel="0" collapsed="false">
      <c r="A939" s="1"/>
      <c r="H939" s="3"/>
      <c r="J939" s="3"/>
      <c r="L939" s="3"/>
      <c r="N939" s="3"/>
      <c r="P939" s="3"/>
      <c r="AG939" s="4"/>
    </row>
    <row r="940" s="2" customFormat="true" ht="12.8" hidden="false" customHeight="false" outlineLevel="0" collapsed="false">
      <c r="A940" s="1"/>
      <c r="H940" s="3"/>
      <c r="J940" s="3"/>
      <c r="L940" s="3"/>
      <c r="N940" s="3"/>
      <c r="P940" s="3"/>
      <c r="AG940" s="4"/>
    </row>
    <row r="941" s="2" customFormat="true" ht="12.8" hidden="false" customHeight="false" outlineLevel="0" collapsed="false">
      <c r="A941" s="1"/>
      <c r="H941" s="3"/>
      <c r="J941" s="3"/>
      <c r="L941" s="3"/>
      <c r="N941" s="3"/>
      <c r="P941" s="3"/>
      <c r="AG941" s="4"/>
    </row>
    <row r="942" s="2" customFormat="true" ht="12.8" hidden="false" customHeight="false" outlineLevel="0" collapsed="false">
      <c r="A942" s="1"/>
      <c r="H942" s="3"/>
      <c r="J942" s="3"/>
      <c r="L942" s="3"/>
      <c r="N942" s="3"/>
      <c r="P942" s="3"/>
      <c r="AG942" s="4"/>
    </row>
    <row r="943" s="2" customFormat="true" ht="12.8" hidden="false" customHeight="false" outlineLevel="0" collapsed="false">
      <c r="A943" s="1"/>
      <c r="H943" s="3"/>
      <c r="J943" s="3"/>
      <c r="L943" s="3"/>
      <c r="N943" s="3"/>
      <c r="P943" s="3"/>
      <c r="AG943" s="4"/>
    </row>
    <row r="944" s="2" customFormat="true" ht="12.8" hidden="false" customHeight="false" outlineLevel="0" collapsed="false">
      <c r="A944" s="1"/>
      <c r="H944" s="3"/>
      <c r="J944" s="3"/>
      <c r="L944" s="3"/>
      <c r="N944" s="3"/>
      <c r="P944" s="3"/>
      <c r="AG944" s="4"/>
    </row>
    <row r="945" s="2" customFormat="true" ht="12.8" hidden="false" customHeight="false" outlineLevel="0" collapsed="false">
      <c r="A945" s="1"/>
      <c r="H945" s="3"/>
      <c r="J945" s="3"/>
      <c r="L945" s="3"/>
      <c r="N945" s="3"/>
      <c r="P945" s="3"/>
      <c r="AG945" s="4"/>
    </row>
    <row r="946" s="2" customFormat="true" ht="12.8" hidden="false" customHeight="false" outlineLevel="0" collapsed="false">
      <c r="A946" s="1"/>
      <c r="H946" s="3"/>
      <c r="J946" s="3"/>
      <c r="L946" s="3"/>
      <c r="N946" s="3"/>
      <c r="P946" s="3"/>
      <c r="AG946" s="4"/>
    </row>
    <row r="947" s="2" customFormat="true" ht="12.8" hidden="false" customHeight="false" outlineLevel="0" collapsed="false">
      <c r="A947" s="1"/>
      <c r="H947" s="3"/>
      <c r="J947" s="3"/>
      <c r="L947" s="3"/>
      <c r="N947" s="3"/>
      <c r="P947" s="3"/>
      <c r="AG947" s="4"/>
    </row>
    <row r="948" s="2" customFormat="true" ht="12.8" hidden="false" customHeight="false" outlineLevel="0" collapsed="false">
      <c r="A948" s="1"/>
      <c r="H948" s="3"/>
      <c r="J948" s="3"/>
      <c r="L948" s="3"/>
      <c r="N948" s="3"/>
      <c r="P948" s="3"/>
      <c r="AG948" s="4"/>
    </row>
    <row r="949" s="2" customFormat="true" ht="12.8" hidden="false" customHeight="false" outlineLevel="0" collapsed="false">
      <c r="A949" s="1"/>
      <c r="H949" s="3"/>
      <c r="J949" s="3"/>
      <c r="L949" s="3"/>
      <c r="N949" s="3"/>
      <c r="P949" s="3"/>
      <c r="AG949" s="4"/>
    </row>
    <row r="950" s="2" customFormat="true" ht="12.8" hidden="false" customHeight="false" outlineLevel="0" collapsed="false">
      <c r="A950" s="1"/>
      <c r="H950" s="3"/>
      <c r="J950" s="3"/>
      <c r="L950" s="3"/>
      <c r="N950" s="3"/>
      <c r="P950" s="3"/>
      <c r="AG950" s="4"/>
    </row>
    <row r="951" s="2" customFormat="true" ht="12.8" hidden="false" customHeight="false" outlineLevel="0" collapsed="false">
      <c r="A951" s="1"/>
      <c r="H951" s="3"/>
      <c r="J951" s="3"/>
      <c r="L951" s="3"/>
      <c r="N951" s="3"/>
      <c r="P951" s="3"/>
      <c r="AG951" s="4"/>
    </row>
    <row r="952" s="2" customFormat="true" ht="12.8" hidden="false" customHeight="false" outlineLevel="0" collapsed="false">
      <c r="A952" s="1"/>
      <c r="H952" s="3"/>
      <c r="J952" s="3"/>
      <c r="L952" s="3"/>
      <c r="N952" s="3"/>
      <c r="P952" s="3"/>
      <c r="AG952" s="4"/>
    </row>
    <row r="953" s="2" customFormat="true" ht="12.8" hidden="false" customHeight="false" outlineLevel="0" collapsed="false">
      <c r="A953" s="1"/>
      <c r="H953" s="3"/>
      <c r="J953" s="3"/>
      <c r="L953" s="3"/>
      <c r="N953" s="3"/>
      <c r="P953" s="3"/>
      <c r="AG953" s="4"/>
    </row>
    <row r="954" s="2" customFormat="true" ht="12.8" hidden="false" customHeight="false" outlineLevel="0" collapsed="false">
      <c r="A954" s="1"/>
      <c r="H954" s="3"/>
      <c r="J954" s="3"/>
      <c r="L954" s="3"/>
      <c r="N954" s="3"/>
      <c r="P954" s="3"/>
      <c r="AG954" s="4"/>
    </row>
    <row r="955" s="2" customFormat="true" ht="12.8" hidden="false" customHeight="false" outlineLevel="0" collapsed="false">
      <c r="A955" s="1"/>
      <c r="H955" s="3"/>
      <c r="J955" s="3"/>
      <c r="L955" s="3"/>
      <c r="N955" s="3"/>
      <c r="P955" s="3"/>
      <c r="AG955" s="4"/>
    </row>
    <row r="956" s="2" customFormat="true" ht="12.8" hidden="false" customHeight="false" outlineLevel="0" collapsed="false">
      <c r="A956" s="1"/>
      <c r="H956" s="3"/>
      <c r="J956" s="3"/>
      <c r="L956" s="3"/>
      <c r="N956" s="3"/>
      <c r="P956" s="3"/>
      <c r="AG956" s="4"/>
    </row>
    <row r="957" s="2" customFormat="true" ht="12.8" hidden="false" customHeight="false" outlineLevel="0" collapsed="false">
      <c r="A957" s="1"/>
      <c r="H957" s="3"/>
      <c r="J957" s="3"/>
      <c r="L957" s="3"/>
      <c r="N957" s="3"/>
      <c r="P957" s="3"/>
      <c r="AG957" s="4"/>
    </row>
    <row r="958" s="2" customFormat="true" ht="12.8" hidden="false" customHeight="false" outlineLevel="0" collapsed="false">
      <c r="A958" s="1"/>
      <c r="H958" s="3"/>
      <c r="J958" s="3"/>
      <c r="L958" s="3"/>
      <c r="N958" s="3"/>
      <c r="P958" s="3"/>
      <c r="AG958" s="4"/>
    </row>
    <row r="959" s="2" customFormat="true" ht="12.8" hidden="false" customHeight="false" outlineLevel="0" collapsed="false">
      <c r="A959" s="1"/>
      <c r="H959" s="3"/>
      <c r="J959" s="3"/>
      <c r="L959" s="3"/>
      <c r="N959" s="3"/>
      <c r="P959" s="3"/>
      <c r="AG959" s="4"/>
    </row>
    <row r="960" s="2" customFormat="true" ht="12.8" hidden="false" customHeight="false" outlineLevel="0" collapsed="false">
      <c r="A960" s="1"/>
      <c r="H960" s="3"/>
      <c r="J960" s="3"/>
      <c r="L960" s="3"/>
      <c r="N960" s="3"/>
      <c r="P960" s="3"/>
      <c r="AG960" s="4"/>
    </row>
    <row r="961" s="2" customFormat="true" ht="12.8" hidden="false" customHeight="false" outlineLevel="0" collapsed="false">
      <c r="A961" s="1"/>
      <c r="H961" s="3"/>
      <c r="J961" s="3"/>
      <c r="L961" s="3"/>
      <c r="N961" s="3"/>
      <c r="P961" s="3"/>
      <c r="AG961" s="4"/>
    </row>
    <row r="962" s="2" customFormat="true" ht="12.8" hidden="false" customHeight="false" outlineLevel="0" collapsed="false">
      <c r="A962" s="1"/>
      <c r="H962" s="3"/>
      <c r="J962" s="3"/>
      <c r="L962" s="3"/>
      <c r="N962" s="3"/>
      <c r="P962" s="3"/>
      <c r="AG962" s="4"/>
    </row>
    <row r="963" s="2" customFormat="true" ht="12.8" hidden="false" customHeight="false" outlineLevel="0" collapsed="false">
      <c r="A963" s="1"/>
      <c r="H963" s="3"/>
      <c r="J963" s="3"/>
      <c r="L963" s="3"/>
      <c r="N963" s="3"/>
      <c r="P963" s="3"/>
      <c r="AG963" s="4"/>
    </row>
    <row r="964" s="2" customFormat="true" ht="12.8" hidden="false" customHeight="false" outlineLevel="0" collapsed="false">
      <c r="A964" s="1"/>
      <c r="H964" s="3"/>
      <c r="J964" s="3"/>
      <c r="L964" s="3"/>
      <c r="N964" s="3"/>
      <c r="P964" s="3"/>
      <c r="AG964" s="4"/>
    </row>
    <row r="965" s="2" customFormat="true" ht="12.8" hidden="false" customHeight="false" outlineLevel="0" collapsed="false">
      <c r="A965" s="1"/>
      <c r="H965" s="3"/>
      <c r="J965" s="3"/>
      <c r="L965" s="3"/>
      <c r="N965" s="3"/>
      <c r="P965" s="3"/>
      <c r="AG965" s="4"/>
    </row>
    <row r="966" s="2" customFormat="true" ht="12.8" hidden="false" customHeight="false" outlineLevel="0" collapsed="false">
      <c r="A966" s="1"/>
      <c r="H966" s="3"/>
      <c r="J966" s="3"/>
      <c r="L966" s="3"/>
      <c r="N966" s="3"/>
      <c r="P966" s="3"/>
      <c r="AG966" s="4"/>
    </row>
    <row r="967" s="2" customFormat="true" ht="12.8" hidden="false" customHeight="false" outlineLevel="0" collapsed="false">
      <c r="A967" s="1"/>
      <c r="H967" s="3"/>
      <c r="J967" s="3"/>
      <c r="L967" s="3"/>
      <c r="N967" s="3"/>
      <c r="P967" s="3"/>
      <c r="AG967" s="4"/>
    </row>
    <row r="968" s="2" customFormat="true" ht="12.8" hidden="false" customHeight="false" outlineLevel="0" collapsed="false">
      <c r="A968" s="1"/>
      <c r="H968" s="3"/>
      <c r="J968" s="3"/>
      <c r="L968" s="3"/>
      <c r="N968" s="3"/>
      <c r="P968" s="3"/>
      <c r="AG968" s="4"/>
    </row>
    <row r="969" s="2" customFormat="true" ht="12.8" hidden="false" customHeight="false" outlineLevel="0" collapsed="false">
      <c r="A969" s="1"/>
      <c r="H969" s="3"/>
      <c r="J969" s="3"/>
      <c r="L969" s="3"/>
      <c r="N969" s="3"/>
      <c r="P969" s="3"/>
      <c r="AG969" s="4"/>
    </row>
    <row r="970" s="2" customFormat="true" ht="12.8" hidden="false" customHeight="false" outlineLevel="0" collapsed="false">
      <c r="A970" s="1"/>
      <c r="H970" s="3"/>
      <c r="J970" s="3"/>
      <c r="L970" s="3"/>
      <c r="N970" s="3"/>
      <c r="P970" s="3"/>
      <c r="AG970" s="4"/>
    </row>
    <row r="971" s="2" customFormat="true" ht="12.8" hidden="false" customHeight="false" outlineLevel="0" collapsed="false">
      <c r="A971" s="1"/>
      <c r="H971" s="3"/>
      <c r="J971" s="3"/>
      <c r="L971" s="3"/>
      <c r="N971" s="3"/>
      <c r="P971" s="3"/>
      <c r="AG971" s="4"/>
    </row>
    <row r="972" s="2" customFormat="true" ht="12.8" hidden="false" customHeight="false" outlineLevel="0" collapsed="false">
      <c r="A972" s="1"/>
      <c r="H972" s="3"/>
      <c r="J972" s="3"/>
      <c r="L972" s="3"/>
      <c r="N972" s="3"/>
      <c r="P972" s="3"/>
      <c r="AG972" s="4"/>
    </row>
    <row r="973" s="2" customFormat="true" ht="12.8" hidden="false" customHeight="false" outlineLevel="0" collapsed="false">
      <c r="A973" s="1"/>
      <c r="H973" s="3"/>
      <c r="J973" s="3"/>
      <c r="L973" s="3"/>
      <c r="N973" s="3"/>
      <c r="P973" s="3"/>
      <c r="AG973" s="4"/>
    </row>
    <row r="974" s="2" customFormat="true" ht="12.8" hidden="false" customHeight="false" outlineLevel="0" collapsed="false">
      <c r="A974" s="1"/>
      <c r="H974" s="3"/>
      <c r="J974" s="3"/>
      <c r="L974" s="3"/>
      <c r="N974" s="3"/>
      <c r="P974" s="3"/>
      <c r="AG974" s="4"/>
    </row>
    <row r="975" s="2" customFormat="true" ht="12.8" hidden="false" customHeight="false" outlineLevel="0" collapsed="false">
      <c r="A975" s="1"/>
      <c r="H975" s="3"/>
      <c r="J975" s="3"/>
      <c r="L975" s="3"/>
      <c r="N975" s="3"/>
      <c r="P975" s="3"/>
      <c r="AG975" s="4"/>
    </row>
    <row r="976" s="2" customFormat="true" ht="12.8" hidden="false" customHeight="false" outlineLevel="0" collapsed="false">
      <c r="A976" s="1"/>
      <c r="H976" s="3"/>
      <c r="J976" s="3"/>
      <c r="L976" s="3"/>
      <c r="N976" s="3"/>
      <c r="P976" s="3"/>
      <c r="AG976" s="4"/>
    </row>
    <row r="977" s="2" customFormat="true" ht="12.8" hidden="false" customHeight="false" outlineLevel="0" collapsed="false">
      <c r="A977" s="1"/>
      <c r="H977" s="3"/>
      <c r="J977" s="3"/>
      <c r="L977" s="3"/>
      <c r="N977" s="3"/>
      <c r="P977" s="3"/>
      <c r="AG977" s="4"/>
    </row>
    <row r="978" s="2" customFormat="true" ht="12.8" hidden="false" customHeight="false" outlineLevel="0" collapsed="false">
      <c r="A978" s="1"/>
      <c r="H978" s="3"/>
      <c r="J978" s="3"/>
      <c r="L978" s="3"/>
      <c r="N978" s="3"/>
      <c r="P978" s="3"/>
      <c r="AG978" s="4"/>
    </row>
    <row r="979" s="2" customFormat="true" ht="12.8" hidden="false" customHeight="false" outlineLevel="0" collapsed="false">
      <c r="A979" s="1"/>
      <c r="H979" s="3"/>
      <c r="J979" s="3"/>
      <c r="L979" s="3"/>
      <c r="N979" s="3"/>
      <c r="P979" s="3"/>
      <c r="AG979" s="4"/>
    </row>
    <row r="980" s="2" customFormat="true" ht="12.8" hidden="false" customHeight="false" outlineLevel="0" collapsed="false">
      <c r="A980" s="1"/>
      <c r="H980" s="3"/>
      <c r="J980" s="3"/>
      <c r="L980" s="3"/>
      <c r="N980" s="3"/>
      <c r="P980" s="3"/>
      <c r="AG980" s="4"/>
    </row>
    <row r="981" s="2" customFormat="true" ht="12.8" hidden="false" customHeight="false" outlineLevel="0" collapsed="false">
      <c r="A981" s="1"/>
      <c r="H981" s="3"/>
      <c r="J981" s="3"/>
      <c r="L981" s="3"/>
      <c r="N981" s="3"/>
      <c r="P981" s="3"/>
      <c r="AG981" s="4"/>
    </row>
    <row r="982" s="2" customFormat="true" ht="12.8" hidden="false" customHeight="false" outlineLevel="0" collapsed="false">
      <c r="A982" s="1"/>
      <c r="H982" s="3"/>
      <c r="J982" s="3"/>
      <c r="L982" s="3"/>
      <c r="N982" s="3"/>
      <c r="P982" s="3"/>
      <c r="AG982" s="4"/>
    </row>
    <row r="983" s="2" customFormat="true" ht="12.8" hidden="false" customHeight="false" outlineLevel="0" collapsed="false">
      <c r="A983" s="1"/>
      <c r="H983" s="3"/>
      <c r="J983" s="3"/>
      <c r="L983" s="3"/>
      <c r="N983" s="3"/>
      <c r="P983" s="3"/>
      <c r="AG983" s="4"/>
    </row>
    <row r="984" s="2" customFormat="true" ht="12.8" hidden="false" customHeight="false" outlineLevel="0" collapsed="false">
      <c r="A984" s="1"/>
      <c r="H984" s="3"/>
      <c r="J984" s="3"/>
      <c r="L984" s="3"/>
      <c r="N984" s="3"/>
      <c r="P984" s="3"/>
      <c r="AG984" s="4"/>
    </row>
    <row r="985" s="2" customFormat="true" ht="12.8" hidden="false" customHeight="false" outlineLevel="0" collapsed="false">
      <c r="A985" s="1"/>
      <c r="H985" s="3"/>
      <c r="J985" s="3"/>
      <c r="L985" s="3"/>
      <c r="N985" s="3"/>
      <c r="P985" s="3"/>
      <c r="AG985" s="4"/>
    </row>
    <row r="986" s="2" customFormat="true" ht="12.8" hidden="false" customHeight="false" outlineLevel="0" collapsed="false">
      <c r="A986" s="1"/>
      <c r="H986" s="3"/>
      <c r="J986" s="3"/>
      <c r="L986" s="3"/>
      <c r="N986" s="3"/>
      <c r="P986" s="3"/>
      <c r="AG986" s="4"/>
    </row>
    <row r="987" s="2" customFormat="true" ht="12.8" hidden="false" customHeight="false" outlineLevel="0" collapsed="false">
      <c r="A987" s="1"/>
      <c r="H987" s="3"/>
      <c r="J987" s="3"/>
      <c r="L987" s="3"/>
      <c r="N987" s="3"/>
      <c r="P987" s="3"/>
      <c r="AG987" s="4"/>
    </row>
    <row r="988" s="2" customFormat="true" ht="12.8" hidden="false" customHeight="false" outlineLevel="0" collapsed="false">
      <c r="A988" s="1"/>
      <c r="H988" s="3"/>
      <c r="J988" s="3"/>
      <c r="L988" s="3"/>
      <c r="N988" s="3"/>
      <c r="P988" s="3"/>
      <c r="AG988" s="4"/>
    </row>
    <row r="989" s="2" customFormat="true" ht="12.8" hidden="false" customHeight="false" outlineLevel="0" collapsed="false">
      <c r="A989" s="1"/>
      <c r="H989" s="3"/>
      <c r="J989" s="3"/>
      <c r="L989" s="3"/>
      <c r="N989" s="3"/>
      <c r="P989" s="3"/>
      <c r="AG989" s="4"/>
    </row>
    <row r="990" s="2" customFormat="true" ht="12.8" hidden="false" customHeight="false" outlineLevel="0" collapsed="false">
      <c r="A990" s="1"/>
      <c r="H990" s="3"/>
      <c r="J990" s="3"/>
      <c r="L990" s="3"/>
      <c r="N990" s="3"/>
      <c r="P990" s="3"/>
      <c r="AG990" s="4"/>
    </row>
    <row r="991" s="2" customFormat="true" ht="12.8" hidden="false" customHeight="false" outlineLevel="0" collapsed="false">
      <c r="A991" s="1"/>
      <c r="H991" s="3"/>
      <c r="J991" s="3"/>
      <c r="L991" s="3"/>
      <c r="N991" s="3"/>
      <c r="P991" s="3"/>
      <c r="AG991" s="4"/>
    </row>
    <row r="992" s="2" customFormat="true" ht="12.8" hidden="false" customHeight="false" outlineLevel="0" collapsed="false">
      <c r="A992" s="1"/>
      <c r="H992" s="3"/>
      <c r="J992" s="3"/>
      <c r="L992" s="3"/>
      <c r="N992" s="3"/>
      <c r="P992" s="3"/>
      <c r="AG992" s="4"/>
    </row>
    <row r="993" s="2" customFormat="true" ht="12.8" hidden="false" customHeight="false" outlineLevel="0" collapsed="false">
      <c r="A993" s="1"/>
      <c r="H993" s="3"/>
      <c r="J993" s="3"/>
      <c r="L993" s="3"/>
      <c r="N993" s="3"/>
      <c r="P993" s="3"/>
      <c r="AG993" s="4"/>
    </row>
    <row r="994" s="2" customFormat="true" ht="12.8" hidden="false" customHeight="false" outlineLevel="0" collapsed="false">
      <c r="A994" s="1"/>
      <c r="H994" s="3"/>
      <c r="J994" s="3"/>
      <c r="L994" s="3"/>
      <c r="N994" s="3"/>
      <c r="P994" s="3"/>
      <c r="AG994" s="4"/>
    </row>
    <row r="995" s="2" customFormat="true" ht="12.8" hidden="false" customHeight="false" outlineLevel="0" collapsed="false">
      <c r="A995" s="1"/>
      <c r="H995" s="3"/>
      <c r="J995" s="3"/>
      <c r="L995" s="3"/>
      <c r="N995" s="3"/>
      <c r="P995" s="3"/>
      <c r="AG995" s="4"/>
    </row>
    <row r="996" s="2" customFormat="true" ht="12.8" hidden="false" customHeight="false" outlineLevel="0" collapsed="false">
      <c r="A996" s="1"/>
      <c r="H996" s="3"/>
      <c r="J996" s="3"/>
      <c r="L996" s="3"/>
      <c r="N996" s="3"/>
      <c r="P996" s="3"/>
      <c r="AG996" s="4"/>
    </row>
    <row r="997" s="2" customFormat="true" ht="12.8" hidden="false" customHeight="false" outlineLevel="0" collapsed="false">
      <c r="A997" s="1"/>
      <c r="H997" s="3"/>
      <c r="J997" s="3"/>
      <c r="L997" s="3"/>
      <c r="N997" s="3"/>
      <c r="P997" s="3"/>
      <c r="AG997" s="4"/>
    </row>
    <row r="998" s="2" customFormat="true" ht="12.8" hidden="false" customHeight="false" outlineLevel="0" collapsed="false">
      <c r="A998" s="1"/>
      <c r="H998" s="3"/>
      <c r="J998" s="3"/>
      <c r="L998" s="3"/>
      <c r="N998" s="3"/>
      <c r="P998" s="3"/>
      <c r="AG998" s="4"/>
    </row>
    <row r="999" s="2" customFormat="true" ht="12.8" hidden="false" customHeight="false" outlineLevel="0" collapsed="false">
      <c r="A999" s="1"/>
      <c r="H999" s="3"/>
      <c r="J999" s="3"/>
      <c r="L999" s="3"/>
      <c r="N999" s="3"/>
      <c r="P999" s="3"/>
      <c r="AG999" s="4"/>
    </row>
    <row r="1000" s="2" customFormat="true" ht="12.8" hidden="false" customHeight="false" outlineLevel="0" collapsed="false">
      <c r="A1000" s="1"/>
      <c r="H1000" s="3"/>
      <c r="J1000" s="3"/>
      <c r="L1000" s="3"/>
      <c r="N1000" s="3"/>
      <c r="P1000" s="3"/>
      <c r="AG1000" s="4"/>
    </row>
    <row r="1001" s="2" customFormat="true" ht="12.8" hidden="false" customHeight="false" outlineLevel="0" collapsed="false">
      <c r="A1001" s="1"/>
      <c r="H1001" s="3"/>
      <c r="J1001" s="3"/>
      <c r="L1001" s="3"/>
      <c r="N1001" s="3"/>
      <c r="P1001" s="3"/>
      <c r="AG1001" s="4"/>
    </row>
    <row r="1002" s="2" customFormat="true" ht="12.8" hidden="false" customHeight="false" outlineLevel="0" collapsed="false">
      <c r="A1002" s="1"/>
      <c r="H1002" s="3"/>
      <c r="J1002" s="3"/>
      <c r="L1002" s="3"/>
      <c r="N1002" s="3"/>
      <c r="P1002" s="3"/>
      <c r="AG1002" s="4"/>
    </row>
    <row r="1003" s="2" customFormat="true" ht="12.8" hidden="false" customHeight="false" outlineLevel="0" collapsed="false">
      <c r="A1003" s="1"/>
      <c r="H1003" s="3"/>
      <c r="J1003" s="3"/>
      <c r="L1003" s="3"/>
      <c r="N1003" s="3"/>
      <c r="P1003" s="3"/>
      <c r="AG1003" s="4"/>
    </row>
    <row r="1004" s="2" customFormat="true" ht="12.8" hidden="false" customHeight="false" outlineLevel="0" collapsed="false">
      <c r="A1004" s="1"/>
      <c r="H1004" s="3"/>
      <c r="J1004" s="3"/>
      <c r="L1004" s="3"/>
      <c r="N1004" s="3"/>
      <c r="P1004" s="3"/>
      <c r="AG1004" s="4"/>
    </row>
    <row r="1005" s="2" customFormat="true" ht="12.8" hidden="false" customHeight="false" outlineLevel="0" collapsed="false">
      <c r="A1005" s="1"/>
      <c r="H1005" s="3"/>
      <c r="J1005" s="3"/>
      <c r="L1005" s="3"/>
      <c r="N1005" s="3"/>
      <c r="P1005" s="3"/>
      <c r="AG1005" s="4"/>
    </row>
    <row r="1006" s="2" customFormat="true" ht="12.8" hidden="false" customHeight="false" outlineLevel="0" collapsed="false">
      <c r="A1006" s="1"/>
      <c r="H1006" s="3"/>
      <c r="J1006" s="3"/>
      <c r="L1006" s="3"/>
      <c r="N1006" s="3"/>
      <c r="P1006" s="3"/>
      <c r="AG1006" s="4"/>
    </row>
    <row r="1007" s="2" customFormat="true" ht="12.8" hidden="false" customHeight="false" outlineLevel="0" collapsed="false">
      <c r="A1007" s="1"/>
      <c r="H1007" s="3"/>
      <c r="J1007" s="3"/>
      <c r="L1007" s="3"/>
      <c r="N1007" s="3"/>
      <c r="P1007" s="3"/>
      <c r="AG1007" s="4"/>
    </row>
    <row r="1008" s="2" customFormat="true" ht="12.8" hidden="false" customHeight="false" outlineLevel="0" collapsed="false">
      <c r="A1008" s="1"/>
      <c r="H1008" s="3"/>
      <c r="J1008" s="3"/>
      <c r="L1008" s="3"/>
      <c r="N1008" s="3"/>
      <c r="P1008" s="3"/>
      <c r="AG1008" s="4"/>
    </row>
    <row r="1009" s="2" customFormat="true" ht="12.8" hidden="false" customHeight="false" outlineLevel="0" collapsed="false">
      <c r="A1009" s="1"/>
      <c r="H1009" s="3"/>
      <c r="J1009" s="3"/>
      <c r="L1009" s="3"/>
      <c r="N1009" s="3"/>
      <c r="P1009" s="3"/>
      <c r="AG1009" s="4"/>
    </row>
    <row r="1010" s="2" customFormat="true" ht="12.8" hidden="false" customHeight="false" outlineLevel="0" collapsed="false">
      <c r="A1010" s="1"/>
      <c r="H1010" s="3"/>
      <c r="J1010" s="3"/>
      <c r="L1010" s="3"/>
      <c r="N1010" s="3"/>
      <c r="P1010" s="3"/>
      <c r="AG1010" s="4"/>
    </row>
    <row r="1011" s="2" customFormat="true" ht="12.8" hidden="false" customHeight="false" outlineLevel="0" collapsed="false">
      <c r="A1011" s="1"/>
      <c r="H1011" s="3"/>
      <c r="J1011" s="3"/>
      <c r="L1011" s="3"/>
      <c r="N1011" s="3"/>
      <c r="P1011" s="3"/>
      <c r="AG1011" s="4"/>
    </row>
    <row r="1012" s="2" customFormat="true" ht="12.8" hidden="false" customHeight="false" outlineLevel="0" collapsed="false">
      <c r="A1012" s="1"/>
      <c r="H1012" s="3"/>
      <c r="J1012" s="3"/>
      <c r="L1012" s="3"/>
      <c r="N1012" s="3"/>
      <c r="P1012" s="3"/>
      <c r="AG1012" s="4"/>
    </row>
    <row r="1013" s="2" customFormat="true" ht="12.8" hidden="false" customHeight="false" outlineLevel="0" collapsed="false">
      <c r="A1013" s="1"/>
      <c r="H1013" s="3"/>
      <c r="J1013" s="3"/>
      <c r="L1013" s="3"/>
      <c r="N1013" s="3"/>
      <c r="P1013" s="3"/>
      <c r="AG1013" s="4"/>
    </row>
    <row r="1014" s="2" customFormat="true" ht="12.8" hidden="false" customHeight="false" outlineLevel="0" collapsed="false">
      <c r="A1014" s="1"/>
      <c r="H1014" s="3"/>
      <c r="J1014" s="3"/>
      <c r="L1014" s="3"/>
      <c r="N1014" s="3"/>
      <c r="P1014" s="3"/>
      <c r="AG1014" s="4"/>
    </row>
    <row r="1015" s="2" customFormat="true" ht="12.8" hidden="false" customHeight="false" outlineLevel="0" collapsed="false">
      <c r="A1015" s="1"/>
      <c r="H1015" s="3"/>
      <c r="J1015" s="3"/>
      <c r="L1015" s="3"/>
      <c r="N1015" s="3"/>
      <c r="P1015" s="3"/>
      <c r="AG1015" s="4"/>
    </row>
    <row r="1016" s="2" customFormat="true" ht="12.8" hidden="false" customHeight="false" outlineLevel="0" collapsed="false">
      <c r="A1016" s="1"/>
      <c r="H1016" s="3"/>
      <c r="J1016" s="3"/>
      <c r="L1016" s="3"/>
      <c r="N1016" s="3"/>
      <c r="P1016" s="3"/>
      <c r="AG1016" s="4"/>
    </row>
    <row r="1017" s="2" customFormat="true" ht="12.8" hidden="false" customHeight="false" outlineLevel="0" collapsed="false">
      <c r="A1017" s="1"/>
      <c r="H1017" s="3"/>
      <c r="J1017" s="3"/>
      <c r="L1017" s="3"/>
      <c r="N1017" s="3"/>
      <c r="P1017" s="3"/>
      <c r="AG1017" s="4"/>
    </row>
    <row r="1018" s="2" customFormat="true" ht="12.8" hidden="false" customHeight="false" outlineLevel="0" collapsed="false">
      <c r="A1018" s="1"/>
      <c r="H1018" s="3"/>
      <c r="J1018" s="3"/>
      <c r="L1018" s="3"/>
      <c r="N1018" s="3"/>
      <c r="P1018" s="3"/>
      <c r="AG1018" s="4"/>
    </row>
    <row r="1019" s="2" customFormat="true" ht="12.8" hidden="false" customHeight="false" outlineLevel="0" collapsed="false">
      <c r="A1019" s="1"/>
      <c r="H1019" s="3"/>
      <c r="J1019" s="3"/>
      <c r="L1019" s="3"/>
      <c r="N1019" s="3"/>
      <c r="P1019" s="3"/>
      <c r="AG1019" s="4"/>
    </row>
    <row r="1020" s="2" customFormat="true" ht="12.8" hidden="false" customHeight="false" outlineLevel="0" collapsed="false">
      <c r="A1020" s="1"/>
      <c r="H1020" s="3"/>
      <c r="J1020" s="3"/>
      <c r="L1020" s="3"/>
      <c r="N1020" s="3"/>
      <c r="P1020" s="3"/>
      <c r="AG1020" s="4"/>
    </row>
    <row r="1021" s="2" customFormat="true" ht="12.8" hidden="false" customHeight="false" outlineLevel="0" collapsed="false">
      <c r="A1021" s="1"/>
      <c r="H1021" s="3"/>
      <c r="J1021" s="3"/>
      <c r="L1021" s="3"/>
      <c r="N1021" s="3"/>
      <c r="P1021" s="3"/>
      <c r="AG1021" s="4"/>
    </row>
    <row r="1022" s="2" customFormat="true" ht="12.8" hidden="false" customHeight="false" outlineLevel="0" collapsed="false">
      <c r="A1022" s="1"/>
      <c r="H1022" s="3"/>
      <c r="J1022" s="3"/>
      <c r="L1022" s="3"/>
      <c r="N1022" s="3"/>
      <c r="P1022" s="3"/>
      <c r="AG1022" s="4"/>
    </row>
    <row r="1023" s="2" customFormat="true" ht="12.8" hidden="false" customHeight="false" outlineLevel="0" collapsed="false">
      <c r="A1023" s="1"/>
      <c r="H1023" s="3"/>
      <c r="J1023" s="3"/>
      <c r="L1023" s="3"/>
      <c r="N1023" s="3"/>
      <c r="P1023" s="3"/>
      <c r="AG1023" s="4"/>
    </row>
    <row r="1024" s="2" customFormat="true" ht="12.8" hidden="false" customHeight="false" outlineLevel="0" collapsed="false">
      <c r="A1024" s="1"/>
      <c r="H1024" s="3"/>
      <c r="J1024" s="3"/>
      <c r="L1024" s="3"/>
      <c r="N1024" s="3"/>
      <c r="P1024" s="3"/>
      <c r="AG1024" s="4"/>
    </row>
    <row r="1025" s="2" customFormat="true" ht="12.8" hidden="false" customHeight="false" outlineLevel="0" collapsed="false">
      <c r="A1025" s="1"/>
      <c r="H1025" s="3"/>
      <c r="J1025" s="3"/>
      <c r="L1025" s="3"/>
      <c r="N1025" s="3"/>
      <c r="P1025" s="3"/>
      <c r="AG1025" s="4"/>
    </row>
    <row r="1026" s="2" customFormat="true" ht="12.8" hidden="false" customHeight="false" outlineLevel="0" collapsed="false">
      <c r="A1026" s="1"/>
      <c r="H1026" s="3"/>
      <c r="J1026" s="3"/>
      <c r="L1026" s="3"/>
      <c r="N1026" s="3"/>
      <c r="P1026" s="3"/>
      <c r="AG1026" s="4"/>
    </row>
    <row r="1027" s="2" customFormat="true" ht="12.8" hidden="false" customHeight="false" outlineLevel="0" collapsed="false">
      <c r="A1027" s="1"/>
      <c r="H1027" s="3"/>
      <c r="J1027" s="3"/>
      <c r="L1027" s="3"/>
      <c r="N1027" s="3"/>
      <c r="P1027" s="3"/>
      <c r="AG1027" s="4"/>
    </row>
    <row r="1028" s="2" customFormat="true" ht="12.8" hidden="false" customHeight="false" outlineLevel="0" collapsed="false">
      <c r="A1028" s="1"/>
      <c r="H1028" s="3"/>
      <c r="J1028" s="3"/>
      <c r="L1028" s="3"/>
      <c r="N1028" s="3"/>
      <c r="P1028" s="3"/>
      <c r="AG1028" s="4"/>
    </row>
    <row r="1029" s="2" customFormat="true" ht="12.8" hidden="false" customHeight="false" outlineLevel="0" collapsed="false">
      <c r="A1029" s="1"/>
      <c r="H1029" s="3"/>
      <c r="J1029" s="3"/>
      <c r="L1029" s="3"/>
      <c r="N1029" s="3"/>
      <c r="P1029" s="3"/>
      <c r="AG1029" s="4"/>
    </row>
    <row r="1030" s="2" customFormat="true" ht="12.8" hidden="false" customHeight="false" outlineLevel="0" collapsed="false">
      <c r="A1030" s="1"/>
      <c r="H1030" s="3"/>
      <c r="J1030" s="3"/>
      <c r="L1030" s="3"/>
      <c r="N1030" s="3"/>
      <c r="P1030" s="3"/>
      <c r="AG1030" s="4"/>
    </row>
    <row r="1031" s="2" customFormat="true" ht="12.8" hidden="false" customHeight="false" outlineLevel="0" collapsed="false">
      <c r="A1031" s="1"/>
      <c r="H1031" s="3"/>
      <c r="J1031" s="3"/>
      <c r="L1031" s="3"/>
      <c r="N1031" s="3"/>
      <c r="P1031" s="3"/>
      <c r="AG1031" s="4"/>
    </row>
    <row r="1032" s="2" customFormat="true" ht="12.8" hidden="false" customHeight="false" outlineLevel="0" collapsed="false">
      <c r="A1032" s="1"/>
      <c r="H1032" s="3"/>
      <c r="J1032" s="3"/>
      <c r="L1032" s="3"/>
      <c r="N1032" s="3"/>
      <c r="P1032" s="3"/>
      <c r="AG1032" s="4"/>
    </row>
    <row r="1033" s="2" customFormat="true" ht="12.8" hidden="false" customHeight="false" outlineLevel="0" collapsed="false">
      <c r="A1033" s="1"/>
      <c r="H1033" s="3"/>
      <c r="J1033" s="3"/>
      <c r="L1033" s="3"/>
      <c r="N1033" s="3"/>
      <c r="P1033" s="3"/>
      <c r="AG1033" s="4"/>
    </row>
    <row r="1034" s="2" customFormat="true" ht="12.8" hidden="false" customHeight="false" outlineLevel="0" collapsed="false">
      <c r="A1034" s="1"/>
      <c r="H1034" s="3"/>
      <c r="J1034" s="3"/>
      <c r="L1034" s="3"/>
      <c r="N1034" s="3"/>
      <c r="P1034" s="3"/>
      <c r="AG1034" s="4"/>
    </row>
    <row r="1035" s="2" customFormat="true" ht="12.8" hidden="false" customHeight="false" outlineLevel="0" collapsed="false">
      <c r="A1035" s="1"/>
      <c r="H1035" s="3"/>
      <c r="J1035" s="3"/>
      <c r="L1035" s="3"/>
      <c r="N1035" s="3"/>
      <c r="P1035" s="3"/>
      <c r="AG1035" s="4"/>
    </row>
    <row r="1036" s="2" customFormat="true" ht="12.8" hidden="false" customHeight="false" outlineLevel="0" collapsed="false">
      <c r="A1036" s="1"/>
      <c r="H1036" s="3"/>
      <c r="J1036" s="3"/>
      <c r="L1036" s="3"/>
      <c r="N1036" s="3"/>
      <c r="P1036" s="3"/>
      <c r="AG1036" s="4"/>
    </row>
    <row r="1037" s="2" customFormat="true" ht="12.8" hidden="false" customHeight="false" outlineLevel="0" collapsed="false">
      <c r="A1037" s="1"/>
      <c r="H1037" s="3"/>
      <c r="J1037" s="3"/>
      <c r="L1037" s="3"/>
      <c r="N1037" s="3"/>
      <c r="P1037" s="3"/>
      <c r="AG1037" s="4"/>
    </row>
    <row r="1038" s="2" customFormat="true" ht="12.8" hidden="false" customHeight="false" outlineLevel="0" collapsed="false">
      <c r="A1038" s="1"/>
      <c r="H1038" s="3"/>
      <c r="J1038" s="3"/>
      <c r="L1038" s="3"/>
      <c r="N1038" s="3"/>
      <c r="P1038" s="3"/>
      <c r="AG1038" s="4"/>
    </row>
    <row r="1039" s="2" customFormat="true" ht="12.8" hidden="false" customHeight="false" outlineLevel="0" collapsed="false">
      <c r="A1039" s="1"/>
      <c r="H1039" s="3"/>
      <c r="J1039" s="3"/>
      <c r="L1039" s="3"/>
      <c r="N1039" s="3"/>
      <c r="P1039" s="3"/>
      <c r="AG1039" s="4"/>
    </row>
    <row r="1040" s="2" customFormat="true" ht="12.8" hidden="false" customHeight="false" outlineLevel="0" collapsed="false">
      <c r="A1040" s="1"/>
      <c r="H1040" s="3"/>
      <c r="J1040" s="3"/>
      <c r="L1040" s="3"/>
      <c r="N1040" s="3"/>
      <c r="P1040" s="3"/>
      <c r="AG1040" s="4"/>
    </row>
    <row r="1041" s="2" customFormat="true" ht="12.8" hidden="false" customHeight="false" outlineLevel="0" collapsed="false">
      <c r="A1041" s="1"/>
      <c r="H1041" s="3"/>
      <c r="J1041" s="3"/>
      <c r="L1041" s="3"/>
      <c r="N1041" s="3"/>
      <c r="P1041" s="3"/>
      <c r="AG1041" s="4"/>
    </row>
    <row r="1042" s="2" customFormat="true" ht="12.8" hidden="false" customHeight="false" outlineLevel="0" collapsed="false">
      <c r="A1042" s="1"/>
      <c r="H1042" s="3"/>
      <c r="J1042" s="3"/>
      <c r="L1042" s="3"/>
      <c r="N1042" s="3"/>
      <c r="P1042" s="3"/>
      <c r="AG1042" s="4"/>
    </row>
    <row r="1043" s="2" customFormat="true" ht="12.8" hidden="false" customHeight="false" outlineLevel="0" collapsed="false">
      <c r="A1043" s="1"/>
      <c r="H1043" s="3"/>
      <c r="J1043" s="3"/>
      <c r="L1043" s="3"/>
      <c r="N1043" s="3"/>
      <c r="P1043" s="3"/>
      <c r="AG1043" s="4"/>
    </row>
    <row r="1044" s="2" customFormat="true" ht="12.8" hidden="false" customHeight="false" outlineLevel="0" collapsed="false">
      <c r="A1044" s="1"/>
      <c r="H1044" s="3"/>
      <c r="J1044" s="3"/>
      <c r="L1044" s="3"/>
      <c r="N1044" s="3"/>
      <c r="P1044" s="3"/>
      <c r="AG1044" s="4"/>
    </row>
    <row r="1045" s="2" customFormat="true" ht="12.8" hidden="false" customHeight="false" outlineLevel="0" collapsed="false">
      <c r="A1045" s="1"/>
      <c r="H1045" s="3"/>
      <c r="J1045" s="3"/>
      <c r="L1045" s="3"/>
      <c r="N1045" s="3"/>
      <c r="P1045" s="3"/>
      <c r="AG1045" s="4"/>
    </row>
    <row r="1046" s="2" customFormat="true" ht="12.8" hidden="false" customHeight="false" outlineLevel="0" collapsed="false">
      <c r="A1046" s="1"/>
      <c r="H1046" s="3"/>
      <c r="J1046" s="3"/>
      <c r="L1046" s="3"/>
      <c r="N1046" s="3"/>
      <c r="P1046" s="3"/>
      <c r="AG1046" s="4"/>
    </row>
    <row r="1047" s="2" customFormat="true" ht="12.8" hidden="false" customHeight="false" outlineLevel="0" collapsed="false">
      <c r="A1047" s="1"/>
      <c r="H1047" s="3"/>
      <c r="J1047" s="3"/>
      <c r="L1047" s="3"/>
      <c r="N1047" s="3"/>
      <c r="P1047" s="3"/>
      <c r="AG1047" s="4"/>
    </row>
    <row r="1048" s="2" customFormat="true" ht="12.8" hidden="false" customHeight="false" outlineLevel="0" collapsed="false">
      <c r="A1048" s="1"/>
      <c r="H1048" s="3"/>
      <c r="J1048" s="3"/>
      <c r="L1048" s="3"/>
      <c r="N1048" s="3"/>
      <c r="P1048" s="3"/>
      <c r="AG1048" s="4"/>
    </row>
    <row r="1049" s="2" customFormat="true" ht="12.8" hidden="false" customHeight="false" outlineLevel="0" collapsed="false">
      <c r="A1049" s="1"/>
      <c r="H1049" s="3"/>
      <c r="J1049" s="3"/>
      <c r="L1049" s="3"/>
      <c r="N1049" s="3"/>
      <c r="P1049" s="3"/>
      <c r="AG1049" s="4"/>
    </row>
    <row r="1050" s="2" customFormat="true" ht="12.8" hidden="false" customHeight="false" outlineLevel="0" collapsed="false">
      <c r="A1050" s="1"/>
      <c r="H1050" s="3"/>
      <c r="J1050" s="3"/>
      <c r="L1050" s="3"/>
      <c r="N1050" s="3"/>
      <c r="P1050" s="3"/>
      <c r="AG1050" s="4"/>
    </row>
    <row r="1051" s="2" customFormat="true" ht="12.8" hidden="false" customHeight="false" outlineLevel="0" collapsed="false">
      <c r="A1051" s="1"/>
      <c r="H1051" s="3"/>
      <c r="J1051" s="3"/>
      <c r="L1051" s="3"/>
      <c r="N1051" s="3"/>
      <c r="P1051" s="3"/>
      <c r="AG1051" s="4"/>
    </row>
    <row r="1052" s="2" customFormat="true" ht="12.8" hidden="false" customHeight="false" outlineLevel="0" collapsed="false">
      <c r="A1052" s="1"/>
      <c r="H1052" s="3"/>
      <c r="J1052" s="3"/>
      <c r="L1052" s="3"/>
      <c r="N1052" s="3"/>
      <c r="P1052" s="3"/>
      <c r="AG1052" s="4"/>
    </row>
    <row r="1053" s="2" customFormat="true" ht="12.8" hidden="false" customHeight="false" outlineLevel="0" collapsed="false">
      <c r="A1053" s="1"/>
      <c r="H1053" s="3"/>
      <c r="J1053" s="3"/>
      <c r="L1053" s="3"/>
      <c r="N1053" s="3"/>
      <c r="P1053" s="3"/>
      <c r="AG1053" s="4"/>
    </row>
    <row r="1054" s="2" customFormat="true" ht="12.8" hidden="false" customHeight="false" outlineLevel="0" collapsed="false">
      <c r="A1054" s="1"/>
      <c r="H1054" s="3"/>
      <c r="J1054" s="3"/>
      <c r="L1054" s="3"/>
      <c r="N1054" s="3"/>
      <c r="P1054" s="3"/>
      <c r="AG1054" s="4"/>
    </row>
    <row r="1055" s="2" customFormat="true" ht="12.8" hidden="false" customHeight="false" outlineLevel="0" collapsed="false">
      <c r="A1055" s="1"/>
      <c r="H1055" s="3"/>
      <c r="J1055" s="3"/>
      <c r="L1055" s="3"/>
      <c r="N1055" s="3"/>
      <c r="P1055" s="3"/>
      <c r="AG1055" s="4"/>
    </row>
    <row r="1056" s="2" customFormat="true" ht="12.8" hidden="false" customHeight="false" outlineLevel="0" collapsed="false">
      <c r="A1056" s="1"/>
      <c r="H1056" s="3"/>
      <c r="J1056" s="3"/>
      <c r="L1056" s="3"/>
      <c r="N1056" s="3"/>
      <c r="P1056" s="3"/>
      <c r="AG1056" s="4"/>
    </row>
    <row r="1057" s="2" customFormat="true" ht="12.8" hidden="false" customHeight="false" outlineLevel="0" collapsed="false">
      <c r="A1057" s="1"/>
      <c r="H1057" s="3"/>
      <c r="J1057" s="3"/>
      <c r="L1057" s="3"/>
      <c r="N1057" s="3"/>
      <c r="P1057" s="3"/>
      <c r="AG1057" s="4"/>
    </row>
    <row r="1058" s="2" customFormat="true" ht="12.8" hidden="false" customHeight="false" outlineLevel="0" collapsed="false">
      <c r="A1058" s="1"/>
      <c r="H1058" s="3"/>
      <c r="J1058" s="3"/>
      <c r="L1058" s="3"/>
      <c r="N1058" s="3"/>
      <c r="P1058" s="3"/>
      <c r="AG1058" s="4"/>
    </row>
    <row r="1059" s="2" customFormat="true" ht="12.8" hidden="false" customHeight="false" outlineLevel="0" collapsed="false">
      <c r="A1059" s="1"/>
      <c r="H1059" s="3"/>
      <c r="J1059" s="3"/>
      <c r="L1059" s="3"/>
      <c r="N1059" s="3"/>
      <c r="P1059" s="3"/>
      <c r="AG1059" s="4"/>
    </row>
    <row r="1060" s="2" customFormat="true" ht="12.8" hidden="false" customHeight="false" outlineLevel="0" collapsed="false">
      <c r="A1060" s="1"/>
      <c r="H1060" s="3"/>
      <c r="J1060" s="3"/>
      <c r="L1060" s="3"/>
      <c r="N1060" s="3"/>
      <c r="P1060" s="3"/>
      <c r="AG1060" s="4"/>
    </row>
    <row r="1061" s="2" customFormat="true" ht="12.8" hidden="false" customHeight="false" outlineLevel="0" collapsed="false">
      <c r="A1061" s="1"/>
      <c r="H1061" s="3"/>
      <c r="J1061" s="3"/>
      <c r="L1061" s="3"/>
      <c r="N1061" s="3"/>
      <c r="P1061" s="3"/>
      <c r="AG1061" s="4"/>
    </row>
    <row r="1062" s="2" customFormat="true" ht="12.8" hidden="false" customHeight="false" outlineLevel="0" collapsed="false">
      <c r="A1062" s="1"/>
      <c r="H1062" s="3"/>
      <c r="J1062" s="3"/>
      <c r="L1062" s="3"/>
      <c r="N1062" s="3"/>
      <c r="P1062" s="3"/>
      <c r="AG1062" s="4"/>
    </row>
    <row r="1063" s="2" customFormat="true" ht="12.8" hidden="false" customHeight="false" outlineLevel="0" collapsed="false">
      <c r="A1063" s="1"/>
      <c r="H1063" s="3"/>
      <c r="J1063" s="3"/>
      <c r="L1063" s="3"/>
      <c r="N1063" s="3"/>
      <c r="P1063" s="3"/>
      <c r="AG1063" s="4"/>
    </row>
    <row r="1064" s="2" customFormat="true" ht="12.8" hidden="false" customHeight="false" outlineLevel="0" collapsed="false">
      <c r="A1064" s="1"/>
      <c r="H1064" s="3"/>
      <c r="J1064" s="3"/>
      <c r="L1064" s="3"/>
      <c r="N1064" s="3"/>
      <c r="P1064" s="3"/>
      <c r="AG1064" s="4"/>
    </row>
    <row r="1065" s="2" customFormat="true" ht="12.8" hidden="false" customHeight="false" outlineLevel="0" collapsed="false">
      <c r="A1065" s="1"/>
      <c r="H1065" s="3"/>
      <c r="J1065" s="3"/>
      <c r="L1065" s="3"/>
      <c r="N1065" s="3"/>
      <c r="P1065" s="3"/>
      <c r="AG1065" s="4"/>
    </row>
    <row r="1066" s="2" customFormat="true" ht="12.8" hidden="false" customHeight="false" outlineLevel="0" collapsed="false">
      <c r="A1066" s="1"/>
      <c r="H1066" s="3"/>
      <c r="J1066" s="3"/>
      <c r="L1066" s="3"/>
      <c r="N1066" s="3"/>
      <c r="P1066" s="3"/>
      <c r="AG1066" s="4"/>
    </row>
    <row r="1067" s="2" customFormat="true" ht="12.8" hidden="false" customHeight="false" outlineLevel="0" collapsed="false">
      <c r="A1067" s="1"/>
      <c r="H1067" s="3"/>
      <c r="J1067" s="3"/>
      <c r="L1067" s="3"/>
      <c r="N1067" s="3"/>
      <c r="P1067" s="3"/>
      <c r="AG1067" s="4"/>
    </row>
    <row r="1068" s="2" customFormat="true" ht="12.8" hidden="false" customHeight="false" outlineLevel="0" collapsed="false">
      <c r="A1068" s="1"/>
      <c r="H1068" s="3"/>
      <c r="J1068" s="3"/>
      <c r="L1068" s="3"/>
      <c r="N1068" s="3"/>
      <c r="P1068" s="3"/>
      <c r="AG1068" s="4"/>
    </row>
    <row r="1069" s="2" customFormat="true" ht="12.8" hidden="false" customHeight="false" outlineLevel="0" collapsed="false">
      <c r="A1069" s="1"/>
      <c r="H1069" s="3"/>
      <c r="J1069" s="3"/>
      <c r="L1069" s="3"/>
      <c r="N1069" s="3"/>
      <c r="P1069" s="3"/>
      <c r="AG1069" s="4"/>
    </row>
    <row r="1070" s="2" customFormat="true" ht="12.8" hidden="false" customHeight="false" outlineLevel="0" collapsed="false">
      <c r="A1070" s="1"/>
      <c r="H1070" s="3"/>
      <c r="J1070" s="3"/>
      <c r="L1070" s="3"/>
      <c r="N1070" s="3"/>
      <c r="P1070" s="3"/>
      <c r="AG1070" s="4"/>
    </row>
    <row r="1071" s="2" customFormat="true" ht="12.8" hidden="false" customHeight="false" outlineLevel="0" collapsed="false">
      <c r="A1071" s="1"/>
      <c r="H1071" s="3"/>
      <c r="J1071" s="3"/>
      <c r="L1071" s="3"/>
      <c r="N1071" s="3"/>
      <c r="P1071" s="3"/>
      <c r="AG1071" s="4"/>
    </row>
    <row r="1072" s="2" customFormat="true" ht="12.8" hidden="false" customHeight="false" outlineLevel="0" collapsed="false">
      <c r="A1072" s="1"/>
      <c r="H1072" s="3"/>
      <c r="J1072" s="3"/>
      <c r="L1072" s="3"/>
      <c r="N1072" s="3"/>
      <c r="P1072" s="3"/>
      <c r="AG1072" s="4"/>
    </row>
    <row r="1073" s="2" customFormat="true" ht="12.8" hidden="false" customHeight="false" outlineLevel="0" collapsed="false">
      <c r="A1073" s="1"/>
      <c r="H1073" s="3"/>
      <c r="J1073" s="3"/>
      <c r="L1073" s="3"/>
      <c r="N1073" s="3"/>
      <c r="P1073" s="3"/>
      <c r="AG1073" s="4"/>
    </row>
    <row r="1074" s="2" customFormat="true" ht="12.8" hidden="false" customHeight="false" outlineLevel="0" collapsed="false">
      <c r="A1074" s="1"/>
      <c r="H1074" s="3"/>
      <c r="J1074" s="3"/>
      <c r="L1074" s="3"/>
      <c r="N1074" s="3"/>
      <c r="P1074" s="3"/>
      <c r="AG1074" s="4"/>
    </row>
    <row r="1075" s="2" customFormat="true" ht="12.8" hidden="false" customHeight="false" outlineLevel="0" collapsed="false">
      <c r="A1075" s="1"/>
      <c r="H1075" s="3"/>
      <c r="J1075" s="3"/>
      <c r="L1075" s="3"/>
      <c r="N1075" s="3"/>
      <c r="P1075" s="3"/>
      <c r="AG1075" s="4"/>
    </row>
    <row r="1076" s="2" customFormat="true" ht="12.8" hidden="false" customHeight="false" outlineLevel="0" collapsed="false">
      <c r="A1076" s="1"/>
      <c r="H1076" s="3"/>
      <c r="J1076" s="3"/>
      <c r="L1076" s="3"/>
      <c r="N1076" s="3"/>
      <c r="P1076" s="3"/>
      <c r="AG1076" s="4"/>
    </row>
    <row r="1077" s="2" customFormat="true" ht="12.8" hidden="false" customHeight="false" outlineLevel="0" collapsed="false">
      <c r="A1077" s="1"/>
      <c r="H1077" s="3"/>
      <c r="J1077" s="3"/>
      <c r="L1077" s="3"/>
      <c r="N1077" s="3"/>
      <c r="P1077" s="3"/>
      <c r="AG1077" s="4"/>
    </row>
    <row r="1078" s="2" customFormat="true" ht="12.8" hidden="false" customHeight="false" outlineLevel="0" collapsed="false">
      <c r="A1078" s="1"/>
      <c r="H1078" s="3"/>
      <c r="J1078" s="3"/>
      <c r="L1078" s="3"/>
      <c r="N1078" s="3"/>
      <c r="P1078" s="3"/>
      <c r="AG1078" s="4"/>
    </row>
    <row r="1079" s="2" customFormat="true" ht="12.8" hidden="false" customHeight="false" outlineLevel="0" collapsed="false">
      <c r="A1079" s="1"/>
      <c r="H1079" s="3"/>
      <c r="J1079" s="3"/>
      <c r="L1079" s="3"/>
      <c r="N1079" s="3"/>
      <c r="P1079" s="3"/>
      <c r="AG1079" s="4"/>
    </row>
    <row r="1080" s="2" customFormat="true" ht="12.8" hidden="false" customHeight="false" outlineLevel="0" collapsed="false">
      <c r="A1080" s="1"/>
      <c r="H1080" s="3"/>
      <c r="J1080" s="3"/>
      <c r="L1080" s="3"/>
      <c r="N1080" s="3"/>
      <c r="P1080" s="3"/>
      <c r="AG1080" s="4"/>
    </row>
    <row r="1081" s="2" customFormat="true" ht="12.8" hidden="false" customHeight="false" outlineLevel="0" collapsed="false">
      <c r="A1081" s="1"/>
      <c r="H1081" s="3"/>
      <c r="J1081" s="3"/>
      <c r="L1081" s="3"/>
      <c r="N1081" s="3"/>
      <c r="P1081" s="3"/>
      <c r="AG1081" s="4"/>
    </row>
    <row r="1082" s="2" customFormat="true" ht="12.8" hidden="false" customHeight="false" outlineLevel="0" collapsed="false">
      <c r="A1082" s="1"/>
      <c r="H1082" s="3"/>
      <c r="J1082" s="3"/>
      <c r="L1082" s="3"/>
      <c r="N1082" s="3"/>
      <c r="P1082" s="3"/>
      <c r="AG1082" s="4"/>
    </row>
    <row r="1083" s="2" customFormat="true" ht="12.8" hidden="false" customHeight="false" outlineLevel="0" collapsed="false">
      <c r="A1083" s="1"/>
      <c r="H1083" s="3"/>
      <c r="J1083" s="3"/>
      <c r="L1083" s="3"/>
      <c r="N1083" s="3"/>
      <c r="P1083" s="3"/>
      <c r="AG1083" s="4"/>
    </row>
    <row r="1084" s="2" customFormat="true" ht="12.8" hidden="false" customHeight="false" outlineLevel="0" collapsed="false">
      <c r="A1084" s="1"/>
      <c r="H1084" s="3"/>
      <c r="J1084" s="3"/>
      <c r="L1084" s="3"/>
      <c r="N1084" s="3"/>
      <c r="P1084" s="3"/>
      <c r="AG1084" s="4"/>
    </row>
    <row r="1085" s="2" customFormat="true" ht="12.8" hidden="false" customHeight="false" outlineLevel="0" collapsed="false">
      <c r="A1085" s="1"/>
      <c r="H1085" s="3"/>
      <c r="J1085" s="3"/>
      <c r="L1085" s="3"/>
      <c r="N1085" s="3"/>
      <c r="P1085" s="3"/>
      <c r="AG1085" s="4"/>
    </row>
    <row r="1086" s="2" customFormat="true" ht="12.8" hidden="false" customHeight="false" outlineLevel="0" collapsed="false">
      <c r="A1086" s="1"/>
      <c r="H1086" s="3"/>
      <c r="J1086" s="3"/>
      <c r="L1086" s="3"/>
      <c r="N1086" s="3"/>
      <c r="P1086" s="3"/>
      <c r="AG1086" s="4"/>
    </row>
    <row r="1087" s="2" customFormat="true" ht="12.8" hidden="false" customHeight="false" outlineLevel="0" collapsed="false">
      <c r="A1087" s="1"/>
      <c r="H1087" s="3"/>
      <c r="J1087" s="3"/>
      <c r="L1087" s="3"/>
      <c r="N1087" s="3"/>
      <c r="P1087" s="3"/>
      <c r="AG1087" s="4"/>
    </row>
    <row r="1088" s="2" customFormat="true" ht="12.8" hidden="false" customHeight="false" outlineLevel="0" collapsed="false">
      <c r="A1088" s="1"/>
      <c r="H1088" s="3"/>
      <c r="J1088" s="3"/>
      <c r="L1088" s="3"/>
      <c r="N1088" s="3"/>
      <c r="P1088" s="3"/>
      <c r="AG1088" s="4"/>
    </row>
    <row r="1089" s="2" customFormat="true" ht="12.8" hidden="false" customHeight="false" outlineLevel="0" collapsed="false">
      <c r="A1089" s="1"/>
      <c r="H1089" s="3"/>
      <c r="J1089" s="3"/>
      <c r="L1089" s="3"/>
      <c r="N1089" s="3"/>
      <c r="P1089" s="3"/>
      <c r="AG1089" s="4"/>
    </row>
    <row r="1090" s="2" customFormat="true" ht="12.8" hidden="false" customHeight="false" outlineLevel="0" collapsed="false">
      <c r="A1090" s="1"/>
      <c r="H1090" s="3"/>
      <c r="J1090" s="3"/>
      <c r="L1090" s="3"/>
      <c r="N1090" s="3"/>
      <c r="P1090" s="3"/>
      <c r="AG1090" s="4"/>
    </row>
    <row r="1091" s="2" customFormat="true" ht="12.8" hidden="false" customHeight="false" outlineLevel="0" collapsed="false">
      <c r="A1091" s="1"/>
      <c r="H1091" s="3"/>
      <c r="J1091" s="3"/>
      <c r="L1091" s="3"/>
      <c r="N1091" s="3"/>
      <c r="P1091" s="3"/>
      <c r="AG1091" s="4"/>
    </row>
    <row r="1092" s="2" customFormat="true" ht="12.8" hidden="false" customHeight="false" outlineLevel="0" collapsed="false">
      <c r="A1092" s="1"/>
      <c r="H1092" s="3"/>
      <c r="J1092" s="3"/>
      <c r="L1092" s="3"/>
      <c r="N1092" s="3"/>
      <c r="P1092" s="3"/>
      <c r="AG1092" s="4"/>
    </row>
    <row r="1093" s="2" customFormat="true" ht="12.8" hidden="false" customHeight="false" outlineLevel="0" collapsed="false">
      <c r="A1093" s="1"/>
      <c r="H1093" s="3"/>
      <c r="J1093" s="3"/>
      <c r="L1093" s="3"/>
      <c r="N1093" s="3"/>
      <c r="P1093" s="3"/>
      <c r="AG1093" s="4"/>
    </row>
    <row r="1094" s="2" customFormat="true" ht="12.8" hidden="false" customHeight="false" outlineLevel="0" collapsed="false">
      <c r="A1094" s="1"/>
      <c r="H1094" s="3"/>
      <c r="J1094" s="3"/>
      <c r="L1094" s="3"/>
      <c r="N1094" s="3"/>
      <c r="P1094" s="3"/>
      <c r="AG1094" s="4"/>
    </row>
    <row r="1095" s="2" customFormat="true" ht="12.8" hidden="false" customHeight="false" outlineLevel="0" collapsed="false">
      <c r="A1095" s="1"/>
      <c r="H1095" s="3"/>
      <c r="J1095" s="3"/>
      <c r="L1095" s="3"/>
      <c r="N1095" s="3"/>
      <c r="P1095" s="3"/>
      <c r="AG1095" s="4"/>
    </row>
    <row r="1096" s="2" customFormat="true" ht="12.8" hidden="false" customHeight="false" outlineLevel="0" collapsed="false">
      <c r="A1096" s="1"/>
      <c r="H1096" s="3"/>
      <c r="J1096" s="3"/>
      <c r="L1096" s="3"/>
      <c r="N1096" s="3"/>
      <c r="P1096" s="3"/>
      <c r="AG1096" s="4"/>
    </row>
    <row r="1097" s="2" customFormat="true" ht="12.8" hidden="false" customHeight="false" outlineLevel="0" collapsed="false">
      <c r="A1097" s="1"/>
      <c r="H1097" s="3"/>
      <c r="J1097" s="3"/>
      <c r="L1097" s="3"/>
      <c r="N1097" s="3"/>
      <c r="P1097" s="3"/>
      <c r="AG1097" s="4"/>
    </row>
    <row r="1098" s="2" customFormat="true" ht="12.8" hidden="false" customHeight="false" outlineLevel="0" collapsed="false">
      <c r="A1098" s="1"/>
      <c r="H1098" s="3"/>
      <c r="J1098" s="3"/>
      <c r="L1098" s="3"/>
      <c r="N1098" s="3"/>
      <c r="P1098" s="3"/>
      <c r="AG1098" s="4"/>
    </row>
    <row r="1099" s="2" customFormat="true" ht="12.8" hidden="false" customHeight="false" outlineLevel="0" collapsed="false">
      <c r="A1099" s="1"/>
      <c r="H1099" s="3"/>
      <c r="J1099" s="3"/>
      <c r="L1099" s="3"/>
      <c r="N1099" s="3"/>
      <c r="P1099" s="3"/>
      <c r="AG1099" s="4"/>
    </row>
    <row r="1100" s="2" customFormat="true" ht="12.8" hidden="false" customHeight="false" outlineLevel="0" collapsed="false">
      <c r="A1100" s="1"/>
      <c r="H1100" s="3"/>
      <c r="J1100" s="3"/>
      <c r="L1100" s="3"/>
      <c r="N1100" s="3"/>
      <c r="P1100" s="3"/>
      <c r="AG1100" s="4"/>
    </row>
    <row r="1101" s="2" customFormat="true" ht="12.8" hidden="false" customHeight="false" outlineLevel="0" collapsed="false">
      <c r="A1101" s="1"/>
      <c r="H1101" s="3"/>
      <c r="J1101" s="3"/>
      <c r="L1101" s="3"/>
      <c r="N1101" s="3"/>
      <c r="P1101" s="3"/>
      <c r="AG1101" s="4"/>
    </row>
    <row r="1102" s="2" customFormat="true" ht="12.8" hidden="false" customHeight="false" outlineLevel="0" collapsed="false">
      <c r="A1102" s="1"/>
      <c r="H1102" s="3"/>
      <c r="J1102" s="3"/>
      <c r="L1102" s="3"/>
      <c r="N1102" s="3"/>
      <c r="P1102" s="3"/>
      <c r="AG1102" s="4"/>
    </row>
    <row r="1103" s="2" customFormat="true" ht="12.8" hidden="false" customHeight="false" outlineLevel="0" collapsed="false">
      <c r="A1103" s="1"/>
      <c r="H1103" s="3"/>
      <c r="J1103" s="3"/>
      <c r="L1103" s="3"/>
      <c r="N1103" s="3"/>
      <c r="P1103" s="3"/>
      <c r="AG1103" s="4"/>
    </row>
    <row r="1104" s="2" customFormat="true" ht="12.8" hidden="false" customHeight="false" outlineLevel="0" collapsed="false">
      <c r="A1104" s="1"/>
      <c r="H1104" s="3"/>
      <c r="J1104" s="3"/>
      <c r="L1104" s="3"/>
      <c r="N1104" s="3"/>
      <c r="P1104" s="3"/>
      <c r="AG1104" s="4"/>
    </row>
    <row r="1105" s="2" customFormat="true" ht="12.8" hidden="false" customHeight="false" outlineLevel="0" collapsed="false">
      <c r="A1105" s="1"/>
      <c r="H1105" s="3"/>
      <c r="J1105" s="3"/>
      <c r="L1105" s="3"/>
      <c r="N1105" s="3"/>
      <c r="P1105" s="3"/>
      <c r="AG1105" s="4"/>
    </row>
    <row r="1106" s="2" customFormat="true" ht="12.8" hidden="false" customHeight="false" outlineLevel="0" collapsed="false">
      <c r="A1106" s="1"/>
      <c r="H1106" s="3"/>
      <c r="J1106" s="3"/>
      <c r="L1106" s="3"/>
      <c r="N1106" s="3"/>
      <c r="P1106" s="3"/>
      <c r="AG1106" s="4"/>
    </row>
    <row r="1107" s="2" customFormat="true" ht="12.8" hidden="false" customHeight="false" outlineLevel="0" collapsed="false">
      <c r="A1107" s="1"/>
      <c r="H1107" s="3"/>
      <c r="J1107" s="3"/>
      <c r="L1107" s="3"/>
      <c r="N1107" s="3"/>
      <c r="P1107" s="3"/>
      <c r="AG1107" s="4"/>
    </row>
    <row r="1108" s="2" customFormat="true" ht="12.8" hidden="false" customHeight="false" outlineLevel="0" collapsed="false">
      <c r="A1108" s="1"/>
      <c r="H1108" s="3"/>
      <c r="J1108" s="3"/>
      <c r="L1108" s="3"/>
      <c r="N1108" s="3"/>
      <c r="P1108" s="3"/>
      <c r="AG1108" s="4"/>
    </row>
    <row r="1109" s="2" customFormat="true" ht="12.8" hidden="false" customHeight="false" outlineLevel="0" collapsed="false">
      <c r="A1109" s="1"/>
      <c r="H1109" s="3"/>
      <c r="J1109" s="3"/>
      <c r="L1109" s="3"/>
      <c r="N1109" s="3"/>
      <c r="P1109" s="3"/>
      <c r="AG1109" s="4"/>
    </row>
    <row r="1110" s="2" customFormat="true" ht="12.8" hidden="false" customHeight="false" outlineLevel="0" collapsed="false">
      <c r="A1110" s="1"/>
      <c r="H1110" s="3"/>
      <c r="J1110" s="3"/>
      <c r="L1110" s="3"/>
      <c r="N1110" s="3"/>
      <c r="P1110" s="3"/>
      <c r="AG1110" s="4"/>
    </row>
    <row r="1111" s="2" customFormat="true" ht="12.8" hidden="false" customHeight="false" outlineLevel="0" collapsed="false">
      <c r="A1111" s="1"/>
      <c r="H1111" s="3"/>
      <c r="J1111" s="3"/>
      <c r="L1111" s="3"/>
      <c r="N1111" s="3"/>
      <c r="P1111" s="3"/>
      <c r="AG1111" s="4"/>
    </row>
    <row r="1112" s="2" customFormat="true" ht="12.8" hidden="false" customHeight="false" outlineLevel="0" collapsed="false">
      <c r="A1112" s="1"/>
      <c r="H1112" s="3"/>
      <c r="J1112" s="3"/>
      <c r="L1112" s="3"/>
      <c r="N1112" s="3"/>
      <c r="P1112" s="3"/>
      <c r="AG1112" s="4"/>
    </row>
    <row r="1113" s="2" customFormat="true" ht="12.8" hidden="false" customHeight="false" outlineLevel="0" collapsed="false">
      <c r="A1113" s="1"/>
      <c r="H1113" s="3"/>
      <c r="J1113" s="3"/>
      <c r="L1113" s="3"/>
      <c r="N1113" s="3"/>
      <c r="P1113" s="3"/>
      <c r="AG1113" s="4"/>
    </row>
    <row r="1114" s="2" customFormat="true" ht="12.8" hidden="false" customHeight="false" outlineLevel="0" collapsed="false">
      <c r="A1114" s="1"/>
      <c r="H1114" s="3"/>
      <c r="J1114" s="3"/>
      <c r="L1114" s="3"/>
      <c r="N1114" s="3"/>
      <c r="P1114" s="3"/>
      <c r="AG1114" s="4"/>
    </row>
    <row r="1115" s="2" customFormat="true" ht="12.8" hidden="false" customHeight="false" outlineLevel="0" collapsed="false">
      <c r="A1115" s="1"/>
      <c r="H1115" s="3"/>
      <c r="J1115" s="3"/>
      <c r="L1115" s="3"/>
      <c r="N1115" s="3"/>
      <c r="P1115" s="3"/>
      <c r="AG1115" s="4"/>
    </row>
    <row r="1116" s="2" customFormat="true" ht="12.8" hidden="false" customHeight="false" outlineLevel="0" collapsed="false">
      <c r="A1116" s="1"/>
      <c r="H1116" s="3"/>
      <c r="J1116" s="3"/>
      <c r="L1116" s="3"/>
      <c r="N1116" s="3"/>
      <c r="P1116" s="3"/>
      <c r="AG1116" s="4"/>
    </row>
    <row r="1117" s="2" customFormat="true" ht="12.8" hidden="false" customHeight="false" outlineLevel="0" collapsed="false">
      <c r="A1117" s="1"/>
      <c r="H1117" s="3"/>
      <c r="J1117" s="3"/>
      <c r="L1117" s="3"/>
      <c r="N1117" s="3"/>
      <c r="P1117" s="3"/>
      <c r="AG1117" s="4"/>
    </row>
    <row r="1118" s="2" customFormat="true" ht="12.8" hidden="false" customHeight="false" outlineLevel="0" collapsed="false">
      <c r="A1118" s="1"/>
      <c r="H1118" s="3"/>
      <c r="J1118" s="3"/>
      <c r="L1118" s="3"/>
      <c r="N1118" s="3"/>
      <c r="P1118" s="3"/>
      <c r="AG1118" s="4"/>
    </row>
    <row r="1119" s="2" customFormat="true" ht="12.8" hidden="false" customHeight="false" outlineLevel="0" collapsed="false">
      <c r="A1119" s="1"/>
      <c r="H1119" s="3"/>
      <c r="J1119" s="3"/>
      <c r="L1119" s="3"/>
      <c r="N1119" s="3"/>
      <c r="P1119" s="3"/>
      <c r="AG1119" s="4"/>
    </row>
    <row r="1120" s="2" customFormat="true" ht="12.8" hidden="false" customHeight="false" outlineLevel="0" collapsed="false">
      <c r="A1120" s="1"/>
      <c r="H1120" s="3"/>
      <c r="J1120" s="3"/>
      <c r="L1120" s="3"/>
      <c r="N1120" s="3"/>
      <c r="P1120" s="3"/>
      <c r="AG1120" s="4"/>
    </row>
    <row r="1121" s="2" customFormat="true" ht="12.8" hidden="false" customHeight="false" outlineLevel="0" collapsed="false">
      <c r="A1121" s="1"/>
      <c r="H1121" s="3"/>
      <c r="J1121" s="3"/>
      <c r="L1121" s="3"/>
      <c r="N1121" s="3"/>
      <c r="P1121" s="3"/>
      <c r="AG1121" s="4"/>
    </row>
    <row r="1122" s="2" customFormat="true" ht="12.8" hidden="false" customHeight="false" outlineLevel="0" collapsed="false">
      <c r="A1122" s="1"/>
      <c r="H1122" s="3"/>
      <c r="J1122" s="3"/>
      <c r="L1122" s="3"/>
      <c r="N1122" s="3"/>
      <c r="P1122" s="3"/>
      <c r="AG1122" s="4"/>
    </row>
    <row r="1123" s="2" customFormat="true" ht="12.8" hidden="false" customHeight="false" outlineLevel="0" collapsed="false">
      <c r="A1123" s="1"/>
      <c r="H1123" s="3"/>
      <c r="J1123" s="3"/>
      <c r="L1123" s="3"/>
      <c r="N1123" s="3"/>
      <c r="P1123" s="3"/>
      <c r="AG1123" s="4"/>
    </row>
    <row r="1124" s="2" customFormat="true" ht="12.8" hidden="false" customHeight="false" outlineLevel="0" collapsed="false">
      <c r="A1124" s="1"/>
      <c r="H1124" s="3"/>
      <c r="J1124" s="3"/>
      <c r="L1124" s="3"/>
      <c r="N1124" s="3"/>
      <c r="P1124" s="3"/>
      <c r="AG1124" s="4"/>
    </row>
    <row r="1125" s="2" customFormat="true" ht="12.8" hidden="false" customHeight="false" outlineLevel="0" collapsed="false">
      <c r="A1125" s="1"/>
      <c r="H1125" s="3"/>
      <c r="J1125" s="3"/>
      <c r="L1125" s="3"/>
      <c r="N1125" s="3"/>
      <c r="P1125" s="3"/>
      <c r="AG1125" s="4"/>
    </row>
    <row r="1126" s="2" customFormat="true" ht="12.8" hidden="false" customHeight="false" outlineLevel="0" collapsed="false">
      <c r="A1126" s="1"/>
      <c r="H1126" s="3"/>
      <c r="J1126" s="3"/>
      <c r="L1126" s="3"/>
      <c r="N1126" s="3"/>
      <c r="P1126" s="3"/>
      <c r="AG1126" s="4"/>
    </row>
    <row r="1127" s="2" customFormat="true" ht="12.8" hidden="false" customHeight="false" outlineLevel="0" collapsed="false">
      <c r="A1127" s="1"/>
      <c r="H1127" s="3"/>
      <c r="J1127" s="3"/>
      <c r="L1127" s="3"/>
      <c r="N1127" s="3"/>
      <c r="P1127" s="3"/>
      <c r="AG1127" s="4"/>
    </row>
    <row r="1128" s="2" customFormat="true" ht="12.8" hidden="false" customHeight="false" outlineLevel="0" collapsed="false">
      <c r="A1128" s="1"/>
      <c r="H1128" s="3"/>
      <c r="J1128" s="3"/>
      <c r="L1128" s="3"/>
      <c r="N1128" s="3"/>
      <c r="P1128" s="3"/>
      <c r="AG1128" s="4"/>
    </row>
    <row r="1129" s="2" customFormat="true" ht="12.8" hidden="false" customHeight="false" outlineLevel="0" collapsed="false">
      <c r="A1129" s="1"/>
      <c r="H1129" s="3"/>
      <c r="J1129" s="3"/>
      <c r="L1129" s="3"/>
      <c r="N1129" s="3"/>
      <c r="P1129" s="3"/>
      <c r="AG1129" s="4"/>
    </row>
    <row r="1130" s="2" customFormat="true" ht="12.8" hidden="false" customHeight="false" outlineLevel="0" collapsed="false">
      <c r="A1130" s="1"/>
      <c r="H1130" s="3"/>
      <c r="J1130" s="3"/>
      <c r="L1130" s="3"/>
      <c r="N1130" s="3"/>
      <c r="P1130" s="3"/>
      <c r="AG1130" s="4"/>
    </row>
    <row r="1131" s="2" customFormat="true" ht="12.8" hidden="false" customHeight="false" outlineLevel="0" collapsed="false">
      <c r="A1131" s="1"/>
      <c r="H1131" s="3"/>
      <c r="J1131" s="3"/>
      <c r="L1131" s="3"/>
      <c r="N1131" s="3"/>
      <c r="P1131" s="3"/>
      <c r="AG1131" s="4"/>
    </row>
    <row r="1132" s="2" customFormat="true" ht="12.8" hidden="false" customHeight="false" outlineLevel="0" collapsed="false">
      <c r="A1132" s="1"/>
      <c r="H1132" s="3"/>
      <c r="J1132" s="3"/>
      <c r="L1132" s="3"/>
      <c r="N1132" s="3"/>
      <c r="P1132" s="3"/>
      <c r="AG1132" s="4"/>
    </row>
    <row r="1133" s="2" customFormat="true" ht="12.8" hidden="false" customHeight="false" outlineLevel="0" collapsed="false">
      <c r="A1133" s="1"/>
      <c r="H1133" s="3"/>
      <c r="J1133" s="3"/>
      <c r="L1133" s="3"/>
      <c r="N1133" s="3"/>
      <c r="P1133" s="3"/>
      <c r="AG1133" s="4"/>
    </row>
    <row r="1134" s="2" customFormat="true" ht="12.8" hidden="false" customHeight="false" outlineLevel="0" collapsed="false">
      <c r="A1134" s="1"/>
      <c r="H1134" s="3"/>
      <c r="J1134" s="3"/>
      <c r="L1134" s="3"/>
      <c r="N1134" s="3"/>
      <c r="P1134" s="3"/>
      <c r="AG1134" s="4"/>
    </row>
    <row r="1135" s="2" customFormat="true" ht="12.8" hidden="false" customHeight="false" outlineLevel="0" collapsed="false">
      <c r="A1135" s="1"/>
      <c r="H1135" s="3"/>
      <c r="J1135" s="3"/>
      <c r="L1135" s="3"/>
      <c r="N1135" s="3"/>
      <c r="P1135" s="3"/>
      <c r="AG1135" s="4"/>
    </row>
    <row r="1136" s="2" customFormat="true" ht="12.8" hidden="false" customHeight="false" outlineLevel="0" collapsed="false">
      <c r="A1136" s="1"/>
      <c r="H1136" s="3"/>
      <c r="J1136" s="3"/>
      <c r="L1136" s="3"/>
      <c r="N1136" s="3"/>
      <c r="P1136" s="3"/>
      <c r="AG1136" s="4"/>
    </row>
    <row r="1137" s="2" customFormat="true" ht="12.8" hidden="false" customHeight="false" outlineLevel="0" collapsed="false">
      <c r="A1137" s="1"/>
      <c r="H1137" s="3"/>
      <c r="J1137" s="3"/>
      <c r="L1137" s="3"/>
      <c r="N1137" s="3"/>
      <c r="P1137" s="3"/>
      <c r="AG1137" s="4"/>
    </row>
    <row r="1138" s="2" customFormat="true" ht="12.8" hidden="false" customHeight="false" outlineLevel="0" collapsed="false">
      <c r="A1138" s="1"/>
      <c r="H1138" s="3"/>
      <c r="J1138" s="3"/>
      <c r="L1138" s="3"/>
      <c r="N1138" s="3"/>
      <c r="P1138" s="3"/>
      <c r="AG1138" s="4"/>
    </row>
    <row r="1139" s="2" customFormat="true" ht="12.8" hidden="false" customHeight="false" outlineLevel="0" collapsed="false">
      <c r="A1139" s="1"/>
      <c r="H1139" s="3"/>
      <c r="J1139" s="3"/>
      <c r="L1139" s="3"/>
      <c r="N1139" s="3"/>
      <c r="P1139" s="3"/>
      <c r="AG1139" s="4"/>
    </row>
    <row r="1140" s="2" customFormat="true" ht="12.8" hidden="false" customHeight="false" outlineLevel="0" collapsed="false">
      <c r="A1140" s="1"/>
      <c r="H1140" s="3"/>
      <c r="J1140" s="3"/>
      <c r="L1140" s="3"/>
      <c r="N1140" s="3"/>
      <c r="P1140" s="3"/>
      <c r="AG1140" s="4"/>
    </row>
    <row r="1141" s="2" customFormat="true" ht="12.8" hidden="false" customHeight="false" outlineLevel="0" collapsed="false">
      <c r="A1141" s="1"/>
      <c r="H1141" s="3"/>
      <c r="J1141" s="3"/>
      <c r="L1141" s="3"/>
      <c r="N1141" s="3"/>
      <c r="P1141" s="3"/>
      <c r="AG1141" s="4"/>
    </row>
    <row r="1142" s="2" customFormat="true" ht="12.8" hidden="false" customHeight="false" outlineLevel="0" collapsed="false">
      <c r="A1142" s="1"/>
      <c r="H1142" s="3"/>
      <c r="J1142" s="3"/>
      <c r="L1142" s="3"/>
      <c r="N1142" s="3"/>
      <c r="P1142" s="3"/>
      <c r="AG1142" s="4"/>
    </row>
    <row r="1143" s="2" customFormat="true" ht="12.8" hidden="false" customHeight="false" outlineLevel="0" collapsed="false">
      <c r="A1143" s="1"/>
      <c r="H1143" s="3"/>
      <c r="J1143" s="3"/>
      <c r="L1143" s="3"/>
      <c r="N1143" s="3"/>
      <c r="P1143" s="3"/>
      <c r="AG1143" s="4"/>
    </row>
    <row r="1144" s="2" customFormat="true" ht="12.8" hidden="false" customHeight="false" outlineLevel="0" collapsed="false">
      <c r="A1144" s="1"/>
      <c r="H1144" s="3"/>
      <c r="J1144" s="3"/>
      <c r="L1144" s="3"/>
      <c r="N1144" s="3"/>
      <c r="P1144" s="3"/>
      <c r="AG1144" s="4"/>
    </row>
    <row r="1145" s="2" customFormat="true" ht="12.8" hidden="false" customHeight="false" outlineLevel="0" collapsed="false">
      <c r="A1145" s="1"/>
      <c r="H1145" s="3"/>
      <c r="J1145" s="3"/>
      <c r="L1145" s="3"/>
      <c r="N1145" s="3"/>
      <c r="P1145" s="3"/>
      <c r="AG1145" s="4"/>
    </row>
    <row r="1146" s="2" customFormat="true" ht="12.8" hidden="false" customHeight="false" outlineLevel="0" collapsed="false">
      <c r="A1146" s="1"/>
      <c r="H1146" s="3"/>
      <c r="J1146" s="3"/>
      <c r="L1146" s="3"/>
      <c r="N1146" s="3"/>
      <c r="P1146" s="3"/>
      <c r="AG1146" s="4"/>
    </row>
    <row r="1147" s="2" customFormat="true" ht="12.8" hidden="false" customHeight="false" outlineLevel="0" collapsed="false">
      <c r="A1147" s="1"/>
      <c r="H1147" s="3"/>
      <c r="J1147" s="3"/>
      <c r="L1147" s="3"/>
      <c r="N1147" s="3"/>
      <c r="P1147" s="3"/>
      <c r="AG1147" s="4"/>
    </row>
    <row r="1148" s="2" customFormat="true" ht="12.8" hidden="false" customHeight="false" outlineLevel="0" collapsed="false">
      <c r="A1148" s="1"/>
      <c r="H1148" s="3"/>
      <c r="J1148" s="3"/>
      <c r="L1148" s="3"/>
      <c r="N1148" s="3"/>
      <c r="P1148" s="3"/>
      <c r="AG1148" s="4"/>
    </row>
    <row r="1149" s="2" customFormat="true" ht="12.8" hidden="false" customHeight="false" outlineLevel="0" collapsed="false">
      <c r="A1149" s="1"/>
      <c r="H1149" s="3"/>
      <c r="J1149" s="3"/>
      <c r="L1149" s="3"/>
      <c r="N1149" s="3"/>
      <c r="P1149" s="3"/>
      <c r="AG1149" s="4"/>
    </row>
    <row r="1150" s="2" customFormat="true" ht="12.8" hidden="false" customHeight="false" outlineLevel="0" collapsed="false">
      <c r="A1150" s="1"/>
      <c r="H1150" s="3"/>
      <c r="J1150" s="3"/>
      <c r="L1150" s="3"/>
      <c r="N1150" s="3"/>
      <c r="P1150" s="3"/>
      <c r="AG1150" s="4"/>
    </row>
    <row r="1151" s="2" customFormat="true" ht="12.8" hidden="false" customHeight="false" outlineLevel="0" collapsed="false">
      <c r="A1151" s="1"/>
      <c r="H1151" s="3"/>
      <c r="J1151" s="3"/>
      <c r="L1151" s="3"/>
      <c r="N1151" s="3"/>
      <c r="P1151" s="3"/>
      <c r="AG1151" s="4"/>
    </row>
    <row r="1152" s="2" customFormat="true" ht="12.8" hidden="false" customHeight="false" outlineLevel="0" collapsed="false">
      <c r="A1152" s="1"/>
      <c r="H1152" s="3"/>
      <c r="J1152" s="3"/>
      <c r="L1152" s="3"/>
      <c r="N1152" s="3"/>
      <c r="P1152" s="3"/>
      <c r="AG1152" s="4"/>
    </row>
    <row r="1153" s="2" customFormat="true" ht="12.8" hidden="false" customHeight="false" outlineLevel="0" collapsed="false">
      <c r="A1153" s="1"/>
      <c r="H1153" s="3"/>
      <c r="J1153" s="3"/>
      <c r="L1153" s="3"/>
      <c r="N1153" s="3"/>
      <c r="P1153" s="3"/>
      <c r="AG1153" s="4"/>
    </row>
    <row r="1154" s="2" customFormat="true" ht="12.8" hidden="false" customHeight="false" outlineLevel="0" collapsed="false">
      <c r="A1154" s="1"/>
      <c r="H1154" s="3"/>
      <c r="J1154" s="3"/>
      <c r="L1154" s="3"/>
      <c r="N1154" s="3"/>
      <c r="P1154" s="3"/>
      <c r="AG1154" s="4"/>
    </row>
    <row r="1155" s="2" customFormat="true" ht="12.8" hidden="false" customHeight="false" outlineLevel="0" collapsed="false">
      <c r="A1155" s="1"/>
      <c r="H1155" s="3"/>
      <c r="J1155" s="3"/>
      <c r="L1155" s="3"/>
      <c r="N1155" s="3"/>
      <c r="P1155" s="3"/>
      <c r="AG1155" s="4"/>
    </row>
    <row r="1156" s="2" customFormat="true" ht="12.8" hidden="false" customHeight="false" outlineLevel="0" collapsed="false">
      <c r="A1156" s="1"/>
      <c r="H1156" s="3"/>
      <c r="J1156" s="3"/>
      <c r="L1156" s="3"/>
      <c r="N1156" s="3"/>
      <c r="P1156" s="3"/>
      <c r="AG1156" s="4"/>
    </row>
    <row r="1157" s="2" customFormat="true" ht="12.8" hidden="false" customHeight="false" outlineLevel="0" collapsed="false">
      <c r="A1157" s="1"/>
      <c r="H1157" s="3"/>
      <c r="J1157" s="3"/>
      <c r="L1157" s="3"/>
      <c r="N1157" s="3"/>
      <c r="P1157" s="3"/>
      <c r="AG1157" s="4"/>
    </row>
    <row r="1158" s="2" customFormat="true" ht="12.8" hidden="false" customHeight="false" outlineLevel="0" collapsed="false">
      <c r="A1158" s="1"/>
      <c r="H1158" s="3"/>
      <c r="J1158" s="3"/>
      <c r="L1158" s="3"/>
      <c r="N1158" s="3"/>
      <c r="P1158" s="3"/>
      <c r="AG1158" s="4"/>
    </row>
    <row r="1159" s="2" customFormat="true" ht="12.8" hidden="false" customHeight="false" outlineLevel="0" collapsed="false">
      <c r="A1159" s="1"/>
      <c r="H1159" s="3"/>
      <c r="J1159" s="3"/>
      <c r="L1159" s="3"/>
      <c r="N1159" s="3"/>
      <c r="P1159" s="3"/>
      <c r="AG1159" s="4"/>
    </row>
    <row r="1160" s="2" customFormat="true" ht="12.8" hidden="false" customHeight="false" outlineLevel="0" collapsed="false">
      <c r="A1160" s="1"/>
      <c r="H1160" s="3"/>
      <c r="J1160" s="3"/>
      <c r="L1160" s="3"/>
      <c r="N1160" s="3"/>
      <c r="P1160" s="3"/>
      <c r="AG1160" s="4"/>
    </row>
    <row r="1161" s="2" customFormat="true" ht="12.8" hidden="false" customHeight="false" outlineLevel="0" collapsed="false">
      <c r="A1161" s="1"/>
      <c r="H1161" s="3"/>
      <c r="J1161" s="3"/>
      <c r="L1161" s="3"/>
      <c r="N1161" s="3"/>
      <c r="P1161" s="3"/>
      <c r="AG1161" s="4"/>
    </row>
    <row r="1162" s="2" customFormat="true" ht="12.8" hidden="false" customHeight="false" outlineLevel="0" collapsed="false">
      <c r="A1162" s="1"/>
      <c r="H1162" s="3"/>
      <c r="J1162" s="3"/>
      <c r="L1162" s="3"/>
      <c r="N1162" s="3"/>
      <c r="P1162" s="3"/>
      <c r="AG1162" s="4"/>
    </row>
    <row r="1163" s="2" customFormat="true" ht="12.8" hidden="false" customHeight="false" outlineLevel="0" collapsed="false">
      <c r="A1163" s="1"/>
      <c r="H1163" s="3"/>
      <c r="J1163" s="3"/>
      <c r="L1163" s="3"/>
      <c r="N1163" s="3"/>
      <c r="P1163" s="3"/>
      <c r="AG1163" s="4"/>
    </row>
    <row r="1164" s="2" customFormat="true" ht="12.8" hidden="false" customHeight="false" outlineLevel="0" collapsed="false">
      <c r="A1164" s="1"/>
      <c r="H1164" s="3"/>
      <c r="J1164" s="3"/>
      <c r="L1164" s="3"/>
      <c r="N1164" s="3"/>
      <c r="P1164" s="3"/>
      <c r="AG1164" s="4"/>
    </row>
    <row r="1165" s="2" customFormat="true" ht="12.8" hidden="false" customHeight="false" outlineLevel="0" collapsed="false">
      <c r="A1165" s="1"/>
      <c r="H1165" s="3"/>
      <c r="J1165" s="3"/>
      <c r="L1165" s="3"/>
      <c r="N1165" s="3"/>
      <c r="P1165" s="3"/>
      <c r="AG1165" s="4"/>
    </row>
    <row r="1166" s="2" customFormat="true" ht="12.8" hidden="false" customHeight="false" outlineLevel="0" collapsed="false">
      <c r="A1166" s="1"/>
      <c r="H1166" s="3"/>
      <c r="J1166" s="3"/>
      <c r="L1166" s="3"/>
      <c r="N1166" s="3"/>
      <c r="P1166" s="3"/>
      <c r="AG1166" s="4"/>
    </row>
    <row r="1167" s="2" customFormat="true" ht="12.8" hidden="false" customHeight="false" outlineLevel="0" collapsed="false">
      <c r="A1167" s="1"/>
      <c r="H1167" s="3"/>
      <c r="J1167" s="3"/>
      <c r="L1167" s="3"/>
      <c r="N1167" s="3"/>
      <c r="P1167" s="3"/>
      <c r="AG1167" s="4"/>
    </row>
    <row r="1168" s="2" customFormat="true" ht="12.8" hidden="false" customHeight="false" outlineLevel="0" collapsed="false">
      <c r="A1168" s="1"/>
      <c r="H1168" s="3"/>
      <c r="J1168" s="3"/>
      <c r="L1168" s="3"/>
      <c r="N1168" s="3"/>
      <c r="P1168" s="3"/>
      <c r="AG1168" s="4"/>
    </row>
    <row r="1169" s="2" customFormat="true" ht="12.8" hidden="false" customHeight="false" outlineLevel="0" collapsed="false">
      <c r="A1169" s="1"/>
      <c r="H1169" s="3"/>
      <c r="J1169" s="3"/>
      <c r="L1169" s="3"/>
      <c r="N1169" s="3"/>
      <c r="P1169" s="3"/>
      <c r="AG1169" s="4"/>
    </row>
    <row r="1170" s="2" customFormat="true" ht="12.8" hidden="false" customHeight="false" outlineLevel="0" collapsed="false">
      <c r="A1170" s="1"/>
      <c r="H1170" s="3"/>
      <c r="J1170" s="3"/>
      <c r="L1170" s="3"/>
      <c r="N1170" s="3"/>
      <c r="P1170" s="3"/>
      <c r="AG1170" s="4"/>
    </row>
    <row r="1171" s="2" customFormat="true" ht="12.8" hidden="false" customHeight="false" outlineLevel="0" collapsed="false">
      <c r="A1171" s="1"/>
      <c r="H1171" s="3"/>
      <c r="J1171" s="3"/>
      <c r="L1171" s="3"/>
      <c r="N1171" s="3"/>
      <c r="P1171" s="3"/>
      <c r="AG1171" s="4"/>
    </row>
    <row r="1172" s="2" customFormat="true" ht="12.8" hidden="false" customHeight="false" outlineLevel="0" collapsed="false">
      <c r="A1172" s="1"/>
      <c r="H1172" s="3"/>
      <c r="J1172" s="3"/>
      <c r="L1172" s="3"/>
      <c r="N1172" s="3"/>
      <c r="P1172" s="3"/>
      <c r="AG1172" s="4"/>
    </row>
    <row r="1173" s="2" customFormat="true" ht="12.8" hidden="false" customHeight="false" outlineLevel="0" collapsed="false">
      <c r="A1173" s="1"/>
      <c r="H1173" s="3"/>
      <c r="J1173" s="3"/>
      <c r="L1173" s="3"/>
      <c r="N1173" s="3"/>
      <c r="P1173" s="3"/>
      <c r="AG1173" s="4"/>
    </row>
    <row r="1174" s="2" customFormat="true" ht="12.8" hidden="false" customHeight="false" outlineLevel="0" collapsed="false">
      <c r="A1174" s="1"/>
      <c r="H1174" s="3"/>
      <c r="J1174" s="3"/>
      <c r="L1174" s="3"/>
      <c r="N1174" s="3"/>
      <c r="P1174" s="3"/>
      <c r="AG1174" s="4"/>
    </row>
    <row r="1175" s="2" customFormat="true" ht="12.8" hidden="false" customHeight="false" outlineLevel="0" collapsed="false">
      <c r="A1175" s="1"/>
      <c r="H1175" s="3"/>
      <c r="J1175" s="3"/>
      <c r="L1175" s="3"/>
      <c r="N1175" s="3"/>
      <c r="P1175" s="3"/>
      <c r="AG1175" s="4"/>
    </row>
    <row r="1176" s="2" customFormat="true" ht="12.8" hidden="false" customHeight="false" outlineLevel="0" collapsed="false">
      <c r="A1176" s="1"/>
      <c r="H1176" s="3"/>
      <c r="J1176" s="3"/>
      <c r="L1176" s="3"/>
      <c r="N1176" s="3"/>
      <c r="P1176" s="3"/>
      <c r="AG1176" s="4"/>
    </row>
    <row r="1177" s="2" customFormat="true" ht="12.8" hidden="false" customHeight="false" outlineLevel="0" collapsed="false">
      <c r="A1177" s="1"/>
      <c r="H1177" s="3"/>
      <c r="J1177" s="3"/>
      <c r="L1177" s="3"/>
      <c r="N1177" s="3"/>
      <c r="P1177" s="3"/>
      <c r="AG1177" s="4"/>
    </row>
    <row r="1178" s="2" customFormat="true" ht="12.8" hidden="false" customHeight="false" outlineLevel="0" collapsed="false">
      <c r="A1178" s="1"/>
      <c r="H1178" s="3"/>
      <c r="J1178" s="3"/>
      <c r="L1178" s="3"/>
      <c r="N1178" s="3"/>
      <c r="P1178" s="3"/>
      <c r="AG1178" s="4"/>
    </row>
    <row r="1179" s="2" customFormat="true" ht="12.8" hidden="false" customHeight="false" outlineLevel="0" collapsed="false">
      <c r="A1179" s="1"/>
      <c r="H1179" s="3"/>
      <c r="J1179" s="3"/>
      <c r="L1179" s="3"/>
      <c r="N1179" s="3"/>
      <c r="P1179" s="3"/>
      <c r="AG1179" s="4"/>
    </row>
    <row r="1180" s="2" customFormat="true" ht="12.8" hidden="false" customHeight="false" outlineLevel="0" collapsed="false">
      <c r="A1180" s="1"/>
      <c r="H1180" s="3"/>
      <c r="J1180" s="3"/>
      <c r="L1180" s="3"/>
      <c r="N1180" s="3"/>
      <c r="P1180" s="3"/>
      <c r="AG1180" s="4"/>
    </row>
    <row r="1181" s="2" customFormat="true" ht="12.8" hidden="false" customHeight="false" outlineLevel="0" collapsed="false">
      <c r="A1181" s="1"/>
      <c r="H1181" s="3"/>
      <c r="J1181" s="3"/>
      <c r="L1181" s="3"/>
      <c r="N1181" s="3"/>
      <c r="P1181" s="3"/>
      <c r="AG1181" s="4"/>
    </row>
    <row r="1182" s="2" customFormat="true" ht="12.8" hidden="false" customHeight="false" outlineLevel="0" collapsed="false">
      <c r="A1182" s="1"/>
      <c r="H1182" s="3"/>
      <c r="J1182" s="3"/>
      <c r="L1182" s="3"/>
      <c r="N1182" s="3"/>
      <c r="P1182" s="3"/>
      <c r="AG1182" s="4"/>
    </row>
    <row r="1183" s="2" customFormat="true" ht="12.8" hidden="false" customHeight="false" outlineLevel="0" collapsed="false">
      <c r="A1183" s="1"/>
      <c r="H1183" s="3"/>
      <c r="J1183" s="3"/>
      <c r="L1183" s="3"/>
      <c r="N1183" s="3"/>
      <c r="P1183" s="3"/>
      <c r="AG1183" s="4"/>
    </row>
    <row r="1184" s="2" customFormat="true" ht="12.8" hidden="false" customHeight="false" outlineLevel="0" collapsed="false">
      <c r="A1184" s="1"/>
      <c r="H1184" s="3"/>
      <c r="J1184" s="3"/>
      <c r="L1184" s="3"/>
      <c r="N1184" s="3"/>
      <c r="P1184" s="3"/>
      <c r="AG1184" s="4"/>
    </row>
    <row r="1185" s="2" customFormat="true" ht="12.8" hidden="false" customHeight="false" outlineLevel="0" collapsed="false">
      <c r="A1185" s="1"/>
      <c r="H1185" s="3"/>
      <c r="J1185" s="3"/>
      <c r="L1185" s="3"/>
      <c r="N1185" s="3"/>
      <c r="P1185" s="3"/>
      <c r="AG1185" s="4"/>
    </row>
    <row r="1186" s="2" customFormat="true" ht="12.8" hidden="false" customHeight="false" outlineLevel="0" collapsed="false">
      <c r="A1186" s="1"/>
      <c r="H1186" s="3"/>
      <c r="J1186" s="3"/>
      <c r="L1186" s="3"/>
      <c r="N1186" s="3"/>
      <c r="P1186" s="3"/>
      <c r="AG1186" s="4"/>
    </row>
    <row r="1187" s="2" customFormat="true" ht="12.8" hidden="false" customHeight="false" outlineLevel="0" collapsed="false">
      <c r="A1187" s="1"/>
      <c r="H1187" s="3"/>
      <c r="J1187" s="3"/>
      <c r="L1187" s="3"/>
      <c r="N1187" s="3"/>
      <c r="P1187" s="3"/>
      <c r="AG1187" s="4"/>
    </row>
    <row r="1188" s="2" customFormat="true" ht="12.8" hidden="false" customHeight="false" outlineLevel="0" collapsed="false">
      <c r="A1188" s="1"/>
      <c r="H1188" s="3"/>
      <c r="J1188" s="3"/>
      <c r="L1188" s="3"/>
      <c r="N1188" s="3"/>
      <c r="P1188" s="3"/>
      <c r="AG1188" s="4"/>
    </row>
    <row r="1189" s="2" customFormat="true" ht="12.8" hidden="false" customHeight="false" outlineLevel="0" collapsed="false">
      <c r="A1189" s="1"/>
      <c r="H1189" s="3"/>
      <c r="J1189" s="3"/>
      <c r="L1189" s="3"/>
      <c r="N1189" s="3"/>
      <c r="P1189" s="3"/>
      <c r="AG1189" s="4"/>
    </row>
    <row r="1190" s="2" customFormat="true" ht="12.8" hidden="false" customHeight="false" outlineLevel="0" collapsed="false">
      <c r="A1190" s="1"/>
      <c r="H1190" s="3"/>
      <c r="J1190" s="3"/>
      <c r="L1190" s="3"/>
      <c r="N1190" s="3"/>
      <c r="P1190" s="3"/>
      <c r="AG1190" s="4"/>
    </row>
    <row r="1191" s="2" customFormat="true" ht="12.8" hidden="false" customHeight="false" outlineLevel="0" collapsed="false">
      <c r="A1191" s="1"/>
      <c r="H1191" s="3"/>
      <c r="J1191" s="3"/>
      <c r="L1191" s="3"/>
      <c r="N1191" s="3"/>
      <c r="P1191" s="3"/>
      <c r="AG1191" s="4"/>
    </row>
    <row r="1192" s="2" customFormat="true" ht="12.8" hidden="false" customHeight="false" outlineLevel="0" collapsed="false">
      <c r="A1192" s="1"/>
      <c r="H1192" s="3"/>
      <c r="J1192" s="3"/>
      <c r="L1192" s="3"/>
      <c r="N1192" s="3"/>
      <c r="P1192" s="3"/>
      <c r="AG1192" s="4"/>
    </row>
    <row r="1193" s="2" customFormat="true" ht="12.8" hidden="false" customHeight="false" outlineLevel="0" collapsed="false">
      <c r="A1193" s="1"/>
      <c r="H1193" s="3"/>
      <c r="J1193" s="3"/>
      <c r="L1193" s="3"/>
      <c r="N1193" s="3"/>
      <c r="P1193" s="3"/>
      <c r="AG1193" s="4"/>
    </row>
    <row r="1194" s="2" customFormat="true" ht="12.8" hidden="false" customHeight="false" outlineLevel="0" collapsed="false">
      <c r="A1194" s="1"/>
      <c r="H1194" s="3"/>
      <c r="J1194" s="3"/>
      <c r="L1194" s="3"/>
      <c r="N1194" s="3"/>
      <c r="P1194" s="3"/>
      <c r="AG1194" s="4"/>
    </row>
    <row r="1195" s="2" customFormat="true" ht="12.8" hidden="false" customHeight="false" outlineLevel="0" collapsed="false">
      <c r="A1195" s="1"/>
      <c r="H1195" s="3"/>
      <c r="J1195" s="3"/>
      <c r="L1195" s="3"/>
      <c r="N1195" s="3"/>
      <c r="P1195" s="3"/>
      <c r="AG1195" s="4"/>
    </row>
    <row r="1196" s="2" customFormat="true" ht="12.8" hidden="false" customHeight="false" outlineLevel="0" collapsed="false">
      <c r="A1196" s="1"/>
      <c r="H1196" s="3"/>
      <c r="J1196" s="3"/>
      <c r="L1196" s="3"/>
      <c r="N1196" s="3"/>
      <c r="P1196" s="3"/>
      <c r="AG1196" s="4"/>
    </row>
    <row r="1197" s="2" customFormat="true" ht="12.8" hidden="false" customHeight="false" outlineLevel="0" collapsed="false">
      <c r="A1197" s="1"/>
      <c r="H1197" s="3"/>
      <c r="J1197" s="3"/>
      <c r="L1197" s="3"/>
      <c r="N1197" s="3"/>
      <c r="P1197" s="3"/>
      <c r="AG1197" s="4"/>
    </row>
    <row r="1198" s="2" customFormat="true" ht="12.8" hidden="false" customHeight="false" outlineLevel="0" collapsed="false">
      <c r="A1198" s="1"/>
      <c r="H1198" s="3"/>
      <c r="J1198" s="3"/>
      <c r="L1198" s="3"/>
      <c r="N1198" s="3"/>
      <c r="P1198" s="3"/>
      <c r="AG1198" s="4"/>
    </row>
    <row r="1199" s="2" customFormat="true" ht="12.8" hidden="false" customHeight="false" outlineLevel="0" collapsed="false">
      <c r="A1199" s="1"/>
      <c r="H1199" s="3"/>
      <c r="J1199" s="3"/>
      <c r="L1199" s="3"/>
      <c r="N1199" s="3"/>
      <c r="P1199" s="3"/>
      <c r="AG1199" s="4"/>
    </row>
    <row r="1200" s="2" customFormat="true" ht="12.8" hidden="false" customHeight="false" outlineLevel="0" collapsed="false">
      <c r="A1200" s="1"/>
      <c r="H1200" s="3"/>
      <c r="J1200" s="3"/>
      <c r="L1200" s="3"/>
      <c r="N1200" s="3"/>
      <c r="P1200" s="3"/>
      <c r="AG1200" s="4"/>
    </row>
    <row r="1201" s="2" customFormat="true" ht="12.8" hidden="false" customHeight="false" outlineLevel="0" collapsed="false">
      <c r="A1201" s="1"/>
      <c r="H1201" s="3"/>
      <c r="J1201" s="3"/>
      <c r="L1201" s="3"/>
      <c r="N1201" s="3"/>
      <c r="P1201" s="3"/>
      <c r="AG1201" s="4"/>
    </row>
    <row r="1202" s="2" customFormat="true" ht="12.8" hidden="false" customHeight="false" outlineLevel="0" collapsed="false">
      <c r="A1202" s="1"/>
      <c r="H1202" s="3"/>
      <c r="J1202" s="3"/>
      <c r="L1202" s="3"/>
      <c r="N1202" s="3"/>
      <c r="P1202" s="3"/>
      <c r="AG1202" s="4"/>
    </row>
    <row r="1203" s="2" customFormat="true" ht="12.8" hidden="false" customHeight="false" outlineLevel="0" collapsed="false">
      <c r="A1203" s="1"/>
      <c r="H1203" s="3"/>
      <c r="J1203" s="3"/>
      <c r="L1203" s="3"/>
      <c r="N1203" s="3"/>
      <c r="P1203" s="3"/>
      <c r="AG1203" s="4"/>
    </row>
    <row r="1204" s="2" customFormat="true" ht="12.8" hidden="false" customHeight="false" outlineLevel="0" collapsed="false">
      <c r="A1204" s="1"/>
      <c r="H1204" s="3"/>
      <c r="J1204" s="3"/>
      <c r="L1204" s="3"/>
      <c r="N1204" s="3"/>
      <c r="P1204" s="3"/>
      <c r="AG1204" s="4"/>
    </row>
    <row r="1205" s="2" customFormat="true" ht="12.8" hidden="false" customHeight="false" outlineLevel="0" collapsed="false">
      <c r="A1205" s="1"/>
      <c r="H1205" s="3"/>
      <c r="J1205" s="3"/>
      <c r="L1205" s="3"/>
      <c r="N1205" s="3"/>
      <c r="P1205" s="3"/>
      <c r="AG1205" s="4"/>
    </row>
    <row r="1206" s="2" customFormat="true" ht="12.8" hidden="false" customHeight="false" outlineLevel="0" collapsed="false">
      <c r="A1206" s="1"/>
      <c r="H1206" s="3"/>
      <c r="J1206" s="3"/>
      <c r="L1206" s="3"/>
      <c r="N1206" s="3"/>
      <c r="P1206" s="3"/>
      <c r="AG1206" s="4"/>
    </row>
    <row r="1207" s="2" customFormat="true" ht="12.8" hidden="false" customHeight="false" outlineLevel="0" collapsed="false">
      <c r="A1207" s="1"/>
      <c r="H1207" s="3"/>
      <c r="J1207" s="3"/>
      <c r="L1207" s="3"/>
      <c r="N1207" s="3"/>
      <c r="P1207" s="3"/>
      <c r="AG1207" s="4"/>
    </row>
    <row r="1208" s="2" customFormat="true" ht="12.8" hidden="false" customHeight="false" outlineLevel="0" collapsed="false">
      <c r="A1208" s="1"/>
      <c r="H1208" s="3"/>
      <c r="J1208" s="3"/>
      <c r="L1208" s="3"/>
      <c r="N1208" s="3"/>
      <c r="P1208" s="3"/>
      <c r="AG1208" s="4"/>
    </row>
    <row r="1209" s="2" customFormat="true" ht="12.8" hidden="false" customHeight="false" outlineLevel="0" collapsed="false">
      <c r="A1209" s="1"/>
      <c r="H1209" s="3"/>
      <c r="J1209" s="3"/>
      <c r="L1209" s="3"/>
      <c r="N1209" s="3"/>
      <c r="P1209" s="3"/>
      <c r="AG1209" s="4"/>
    </row>
    <row r="1210" s="2" customFormat="true" ht="12.8" hidden="false" customHeight="false" outlineLevel="0" collapsed="false">
      <c r="A1210" s="1"/>
      <c r="H1210" s="3"/>
      <c r="J1210" s="3"/>
      <c r="L1210" s="3"/>
      <c r="N1210" s="3"/>
      <c r="P1210" s="3"/>
      <c r="AG1210" s="4"/>
    </row>
    <row r="1211" s="2" customFormat="true" ht="12.8" hidden="false" customHeight="false" outlineLevel="0" collapsed="false">
      <c r="A1211" s="1"/>
      <c r="H1211" s="3"/>
      <c r="J1211" s="3"/>
      <c r="L1211" s="3"/>
      <c r="N1211" s="3"/>
      <c r="P1211" s="3"/>
      <c r="AG1211" s="4"/>
    </row>
    <row r="1212" s="2" customFormat="true" ht="12.8" hidden="false" customHeight="false" outlineLevel="0" collapsed="false">
      <c r="A1212" s="1"/>
      <c r="H1212" s="3"/>
      <c r="J1212" s="3"/>
      <c r="L1212" s="3"/>
      <c r="N1212" s="3"/>
      <c r="P1212" s="3"/>
      <c r="AG1212" s="4"/>
    </row>
    <row r="1213" s="2" customFormat="true" ht="12.8" hidden="false" customHeight="false" outlineLevel="0" collapsed="false">
      <c r="A1213" s="1"/>
      <c r="H1213" s="3"/>
      <c r="J1213" s="3"/>
      <c r="L1213" s="3"/>
      <c r="N1213" s="3"/>
      <c r="P1213" s="3"/>
      <c r="AG1213" s="4"/>
    </row>
    <row r="1214" s="2" customFormat="true" ht="12.8" hidden="false" customHeight="false" outlineLevel="0" collapsed="false">
      <c r="A1214" s="1"/>
      <c r="H1214" s="3"/>
      <c r="J1214" s="3"/>
      <c r="L1214" s="3"/>
      <c r="N1214" s="3"/>
      <c r="P1214" s="3"/>
      <c r="AG1214" s="4"/>
    </row>
    <row r="1215" s="2" customFormat="true" ht="12.8" hidden="false" customHeight="false" outlineLevel="0" collapsed="false">
      <c r="A1215" s="1"/>
      <c r="H1215" s="3"/>
      <c r="J1215" s="3"/>
      <c r="L1215" s="3"/>
      <c r="N1215" s="3"/>
      <c r="P1215" s="3"/>
      <c r="AG1215" s="4"/>
    </row>
    <row r="1216" s="2" customFormat="true" ht="12.8" hidden="false" customHeight="false" outlineLevel="0" collapsed="false">
      <c r="A1216" s="1"/>
      <c r="H1216" s="3"/>
      <c r="J1216" s="3"/>
      <c r="L1216" s="3"/>
      <c r="N1216" s="3"/>
      <c r="P1216" s="3"/>
      <c r="AG1216" s="4"/>
    </row>
    <row r="1217" s="2" customFormat="true" ht="12.8" hidden="false" customHeight="false" outlineLevel="0" collapsed="false">
      <c r="A1217" s="1"/>
      <c r="H1217" s="3"/>
      <c r="J1217" s="3"/>
      <c r="L1217" s="3"/>
      <c r="N1217" s="3"/>
      <c r="P1217" s="3"/>
      <c r="AG1217" s="4"/>
    </row>
    <row r="1218" s="2" customFormat="true" ht="12.8" hidden="false" customHeight="false" outlineLevel="0" collapsed="false">
      <c r="A1218" s="1"/>
      <c r="H1218" s="3"/>
      <c r="J1218" s="3"/>
      <c r="L1218" s="3"/>
      <c r="N1218" s="3"/>
      <c r="P1218" s="3"/>
      <c r="AG1218" s="4"/>
    </row>
    <row r="1219" s="2" customFormat="true" ht="12.8" hidden="false" customHeight="false" outlineLevel="0" collapsed="false">
      <c r="A1219" s="1"/>
      <c r="H1219" s="3"/>
      <c r="J1219" s="3"/>
      <c r="L1219" s="3"/>
      <c r="N1219" s="3"/>
      <c r="P1219" s="3"/>
      <c r="AG1219" s="4"/>
    </row>
    <row r="1220" s="2" customFormat="true" ht="12.8" hidden="false" customHeight="false" outlineLevel="0" collapsed="false">
      <c r="A1220" s="1"/>
      <c r="H1220" s="3"/>
      <c r="J1220" s="3"/>
      <c r="L1220" s="3"/>
      <c r="N1220" s="3"/>
      <c r="P1220" s="3"/>
      <c r="AG1220" s="4"/>
    </row>
    <row r="1221" s="2" customFormat="true" ht="12.8" hidden="false" customHeight="false" outlineLevel="0" collapsed="false">
      <c r="A1221" s="1"/>
      <c r="H1221" s="3"/>
      <c r="J1221" s="3"/>
      <c r="L1221" s="3"/>
      <c r="N1221" s="3"/>
      <c r="P1221" s="3"/>
      <c r="AG1221" s="4"/>
    </row>
    <row r="1222" s="2" customFormat="true" ht="12.8" hidden="false" customHeight="false" outlineLevel="0" collapsed="false">
      <c r="A1222" s="1"/>
      <c r="H1222" s="3"/>
      <c r="J1222" s="3"/>
      <c r="L1222" s="3"/>
      <c r="N1222" s="3"/>
      <c r="P1222" s="3"/>
      <c r="AG1222" s="4"/>
    </row>
    <row r="1223" s="2" customFormat="true" ht="12.8" hidden="false" customHeight="false" outlineLevel="0" collapsed="false">
      <c r="A1223" s="1"/>
      <c r="H1223" s="3"/>
      <c r="J1223" s="3"/>
      <c r="L1223" s="3"/>
      <c r="N1223" s="3"/>
      <c r="P1223" s="3"/>
      <c r="AG1223" s="4"/>
    </row>
    <row r="1224" s="2" customFormat="true" ht="12.8" hidden="false" customHeight="false" outlineLevel="0" collapsed="false">
      <c r="A1224" s="1"/>
      <c r="H1224" s="3"/>
      <c r="J1224" s="3"/>
      <c r="L1224" s="3"/>
      <c r="N1224" s="3"/>
      <c r="P1224" s="3"/>
      <c r="AG1224" s="4"/>
    </row>
    <row r="1225" s="2" customFormat="true" ht="12.8" hidden="false" customHeight="false" outlineLevel="0" collapsed="false">
      <c r="A1225" s="1"/>
      <c r="H1225" s="3"/>
      <c r="J1225" s="3"/>
      <c r="L1225" s="3"/>
      <c r="N1225" s="3"/>
      <c r="P1225" s="3"/>
      <c r="AG1225" s="4"/>
    </row>
    <row r="1226" s="2" customFormat="true" ht="12.8" hidden="false" customHeight="false" outlineLevel="0" collapsed="false">
      <c r="A1226" s="1"/>
      <c r="H1226" s="3"/>
      <c r="J1226" s="3"/>
      <c r="L1226" s="3"/>
      <c r="N1226" s="3"/>
      <c r="P1226" s="3"/>
      <c r="AG1226" s="4"/>
    </row>
    <row r="1227" s="2" customFormat="true" ht="12.8" hidden="false" customHeight="false" outlineLevel="0" collapsed="false">
      <c r="A1227" s="1"/>
      <c r="H1227" s="3"/>
      <c r="J1227" s="3"/>
      <c r="L1227" s="3"/>
      <c r="N1227" s="3"/>
      <c r="P1227" s="3"/>
      <c r="AG1227" s="4"/>
    </row>
    <row r="1228" s="2" customFormat="true" ht="12.8" hidden="false" customHeight="false" outlineLevel="0" collapsed="false">
      <c r="A1228" s="1"/>
      <c r="H1228" s="3"/>
      <c r="J1228" s="3"/>
      <c r="L1228" s="3"/>
      <c r="N1228" s="3"/>
      <c r="P1228" s="3"/>
      <c r="AG1228" s="4"/>
    </row>
    <row r="1229" s="2" customFormat="true" ht="12.8" hidden="false" customHeight="false" outlineLevel="0" collapsed="false">
      <c r="A1229" s="1"/>
      <c r="H1229" s="3"/>
      <c r="J1229" s="3"/>
      <c r="L1229" s="3"/>
      <c r="N1229" s="3"/>
      <c r="P1229" s="3"/>
      <c r="AG1229" s="4"/>
    </row>
    <row r="1230" s="2" customFormat="true" ht="12.8" hidden="false" customHeight="false" outlineLevel="0" collapsed="false">
      <c r="A1230" s="1"/>
      <c r="H1230" s="3"/>
      <c r="J1230" s="3"/>
      <c r="L1230" s="3"/>
      <c r="N1230" s="3"/>
      <c r="P1230" s="3"/>
      <c r="AG1230" s="4"/>
    </row>
    <row r="1231" s="2" customFormat="true" ht="12.8" hidden="false" customHeight="false" outlineLevel="0" collapsed="false">
      <c r="A1231" s="1"/>
      <c r="H1231" s="3"/>
      <c r="J1231" s="3"/>
      <c r="L1231" s="3"/>
      <c r="N1231" s="3"/>
      <c r="P1231" s="3"/>
      <c r="AG1231" s="4"/>
    </row>
    <row r="1232" s="2" customFormat="true" ht="12.8" hidden="false" customHeight="false" outlineLevel="0" collapsed="false">
      <c r="A1232" s="1"/>
      <c r="H1232" s="3"/>
      <c r="J1232" s="3"/>
      <c r="L1232" s="3"/>
      <c r="N1232" s="3"/>
      <c r="P1232" s="3"/>
      <c r="AG1232" s="4"/>
    </row>
    <row r="1233" s="2" customFormat="true" ht="12.8" hidden="false" customHeight="false" outlineLevel="0" collapsed="false">
      <c r="A1233" s="1"/>
      <c r="H1233" s="3"/>
      <c r="J1233" s="3"/>
      <c r="L1233" s="3"/>
      <c r="N1233" s="3"/>
      <c r="P1233" s="3"/>
      <c r="AG1233" s="4"/>
    </row>
    <row r="1234" s="2" customFormat="true" ht="12.8" hidden="false" customHeight="false" outlineLevel="0" collapsed="false">
      <c r="A1234" s="1"/>
      <c r="H1234" s="3"/>
      <c r="J1234" s="3"/>
      <c r="L1234" s="3"/>
      <c r="N1234" s="3"/>
      <c r="P1234" s="3"/>
      <c r="AG1234" s="4"/>
    </row>
    <row r="1235" s="2" customFormat="true" ht="12.8" hidden="false" customHeight="false" outlineLevel="0" collapsed="false">
      <c r="A1235" s="1"/>
      <c r="H1235" s="3"/>
      <c r="J1235" s="3"/>
      <c r="L1235" s="3"/>
      <c r="N1235" s="3"/>
      <c r="P1235" s="3"/>
      <c r="AG1235" s="4"/>
    </row>
    <row r="1236" s="2" customFormat="true" ht="12.8" hidden="false" customHeight="false" outlineLevel="0" collapsed="false">
      <c r="A1236" s="1"/>
      <c r="H1236" s="3"/>
      <c r="J1236" s="3"/>
      <c r="L1236" s="3"/>
      <c r="N1236" s="3"/>
      <c r="P1236" s="3"/>
      <c r="AG1236" s="4"/>
    </row>
    <row r="1237" s="2" customFormat="true" ht="12.8" hidden="false" customHeight="false" outlineLevel="0" collapsed="false">
      <c r="A1237" s="1"/>
      <c r="H1237" s="3"/>
      <c r="J1237" s="3"/>
      <c r="L1237" s="3"/>
      <c r="N1237" s="3"/>
      <c r="P1237" s="3"/>
      <c r="AG1237" s="4"/>
    </row>
    <row r="1238" s="2" customFormat="true" ht="12.8" hidden="false" customHeight="false" outlineLevel="0" collapsed="false">
      <c r="A1238" s="1"/>
      <c r="H1238" s="3"/>
      <c r="J1238" s="3"/>
      <c r="L1238" s="3"/>
      <c r="N1238" s="3"/>
      <c r="P1238" s="3"/>
      <c r="AG1238" s="4"/>
    </row>
    <row r="1239" s="2" customFormat="true" ht="12.8" hidden="false" customHeight="false" outlineLevel="0" collapsed="false">
      <c r="A1239" s="1"/>
      <c r="H1239" s="3"/>
      <c r="J1239" s="3"/>
      <c r="L1239" s="3"/>
      <c r="N1239" s="3"/>
      <c r="P1239" s="3"/>
      <c r="AG1239" s="4"/>
    </row>
    <row r="1240" s="2" customFormat="true" ht="12.8" hidden="false" customHeight="false" outlineLevel="0" collapsed="false">
      <c r="A1240" s="1"/>
      <c r="H1240" s="3"/>
      <c r="J1240" s="3"/>
      <c r="L1240" s="3"/>
      <c r="N1240" s="3"/>
      <c r="P1240" s="3"/>
      <c r="AG1240" s="4"/>
    </row>
    <row r="1241" s="2" customFormat="true" ht="12.8" hidden="false" customHeight="false" outlineLevel="0" collapsed="false">
      <c r="A1241" s="1"/>
      <c r="H1241" s="3"/>
      <c r="J1241" s="3"/>
      <c r="L1241" s="3"/>
      <c r="N1241" s="3"/>
      <c r="P1241" s="3"/>
      <c r="AG1241" s="4"/>
    </row>
    <row r="1242" s="2" customFormat="true" ht="12.8" hidden="false" customHeight="false" outlineLevel="0" collapsed="false">
      <c r="A1242" s="1"/>
      <c r="H1242" s="3"/>
      <c r="J1242" s="3"/>
      <c r="L1242" s="3"/>
      <c r="N1242" s="3"/>
      <c r="P1242" s="3"/>
      <c r="AG1242" s="4"/>
    </row>
    <row r="1243" s="2" customFormat="true" ht="12.8" hidden="false" customHeight="false" outlineLevel="0" collapsed="false">
      <c r="A1243" s="1"/>
      <c r="H1243" s="3"/>
      <c r="J1243" s="3"/>
      <c r="L1243" s="3"/>
      <c r="N1243" s="3"/>
      <c r="P1243" s="3"/>
      <c r="AG1243" s="4"/>
    </row>
    <row r="1244" s="2" customFormat="true" ht="12.8" hidden="false" customHeight="false" outlineLevel="0" collapsed="false">
      <c r="A1244" s="1"/>
      <c r="H1244" s="3"/>
      <c r="J1244" s="3"/>
      <c r="L1244" s="3"/>
      <c r="N1244" s="3"/>
      <c r="P1244" s="3"/>
      <c r="AG1244" s="4"/>
    </row>
    <row r="1245" s="2" customFormat="true" ht="12.8" hidden="false" customHeight="false" outlineLevel="0" collapsed="false">
      <c r="A1245" s="1"/>
      <c r="H1245" s="3"/>
      <c r="J1245" s="3"/>
      <c r="L1245" s="3"/>
      <c r="N1245" s="3"/>
      <c r="P1245" s="3"/>
      <c r="AG1245" s="4"/>
    </row>
    <row r="1246" s="2" customFormat="true" ht="12.8" hidden="false" customHeight="false" outlineLevel="0" collapsed="false">
      <c r="A1246" s="1"/>
      <c r="H1246" s="3"/>
      <c r="J1246" s="3"/>
      <c r="L1246" s="3"/>
      <c r="N1246" s="3"/>
      <c r="P1246" s="3"/>
      <c r="AG1246" s="4"/>
    </row>
    <row r="1247" s="2" customFormat="true" ht="12.8" hidden="false" customHeight="false" outlineLevel="0" collapsed="false">
      <c r="A1247" s="1"/>
      <c r="H1247" s="3"/>
      <c r="J1247" s="3"/>
      <c r="L1247" s="3"/>
      <c r="N1247" s="3"/>
      <c r="P1247" s="3"/>
      <c r="AG1247" s="4"/>
    </row>
    <row r="1248" s="2" customFormat="true" ht="12.8" hidden="false" customHeight="false" outlineLevel="0" collapsed="false">
      <c r="A1248" s="1"/>
      <c r="H1248" s="3"/>
      <c r="J1248" s="3"/>
      <c r="L1248" s="3"/>
      <c r="N1248" s="3"/>
      <c r="P1248" s="3"/>
      <c r="AG1248" s="4"/>
    </row>
    <row r="1249" s="2" customFormat="true" ht="12.8" hidden="false" customHeight="false" outlineLevel="0" collapsed="false">
      <c r="A1249" s="1"/>
      <c r="H1249" s="3"/>
      <c r="J1249" s="3"/>
      <c r="L1249" s="3"/>
      <c r="N1249" s="3"/>
      <c r="P1249" s="3"/>
      <c r="AG1249" s="4"/>
    </row>
    <row r="1250" s="2" customFormat="true" ht="12.8" hidden="false" customHeight="false" outlineLevel="0" collapsed="false">
      <c r="A1250" s="1"/>
      <c r="H1250" s="3"/>
      <c r="J1250" s="3"/>
      <c r="L1250" s="3"/>
      <c r="N1250" s="3"/>
      <c r="P1250" s="3"/>
      <c r="AG1250" s="4"/>
    </row>
    <row r="1251" s="2" customFormat="true" ht="12.8" hidden="false" customHeight="false" outlineLevel="0" collapsed="false">
      <c r="A1251" s="1"/>
      <c r="H1251" s="3"/>
      <c r="J1251" s="3"/>
      <c r="L1251" s="3"/>
      <c r="N1251" s="3"/>
      <c r="P1251" s="3"/>
      <c r="AG1251" s="4"/>
    </row>
    <row r="1252" s="2" customFormat="true" ht="12.8" hidden="false" customHeight="false" outlineLevel="0" collapsed="false">
      <c r="A1252" s="1"/>
      <c r="H1252" s="3"/>
      <c r="J1252" s="3"/>
      <c r="L1252" s="3"/>
      <c r="N1252" s="3"/>
      <c r="P1252" s="3"/>
      <c r="AG1252" s="4"/>
    </row>
    <row r="1253" s="2" customFormat="true" ht="12.8" hidden="false" customHeight="false" outlineLevel="0" collapsed="false">
      <c r="A1253" s="1"/>
      <c r="H1253" s="3"/>
      <c r="J1253" s="3"/>
      <c r="L1253" s="3"/>
      <c r="N1253" s="3"/>
      <c r="P1253" s="3"/>
      <c r="AG1253" s="4"/>
    </row>
    <row r="1254" s="2" customFormat="true" ht="12.8" hidden="false" customHeight="false" outlineLevel="0" collapsed="false">
      <c r="A1254" s="1"/>
      <c r="H1254" s="3"/>
      <c r="J1254" s="3"/>
      <c r="L1254" s="3"/>
      <c r="N1254" s="3"/>
      <c r="P1254" s="3"/>
      <c r="AG1254" s="4"/>
    </row>
    <row r="1255" s="2" customFormat="true" ht="12.8" hidden="false" customHeight="false" outlineLevel="0" collapsed="false">
      <c r="A1255" s="1"/>
      <c r="H1255" s="3"/>
      <c r="J1255" s="3"/>
      <c r="L1255" s="3"/>
      <c r="N1255" s="3"/>
      <c r="P1255" s="3"/>
      <c r="AG1255" s="4"/>
    </row>
    <row r="1256" s="2" customFormat="true" ht="12.8" hidden="false" customHeight="false" outlineLevel="0" collapsed="false">
      <c r="A1256" s="1"/>
      <c r="H1256" s="3"/>
      <c r="J1256" s="3"/>
      <c r="L1256" s="3"/>
      <c r="N1256" s="3"/>
      <c r="P1256" s="3"/>
      <c r="AG1256" s="4"/>
    </row>
    <row r="1257" s="2" customFormat="true" ht="12.8" hidden="false" customHeight="false" outlineLevel="0" collapsed="false">
      <c r="A1257" s="1"/>
      <c r="H1257" s="3"/>
      <c r="J1257" s="3"/>
      <c r="L1257" s="3"/>
      <c r="N1257" s="3"/>
      <c r="P1257" s="3"/>
      <c r="AG1257" s="4"/>
    </row>
    <row r="1258" s="2" customFormat="true" ht="12.8" hidden="false" customHeight="false" outlineLevel="0" collapsed="false">
      <c r="A1258" s="1"/>
      <c r="H1258" s="3"/>
      <c r="J1258" s="3"/>
      <c r="L1258" s="3"/>
      <c r="N1258" s="3"/>
      <c r="P1258" s="3"/>
      <c r="AG1258" s="4"/>
    </row>
    <row r="1259" s="2" customFormat="true" ht="12.8" hidden="false" customHeight="false" outlineLevel="0" collapsed="false">
      <c r="A1259" s="1"/>
      <c r="H1259" s="3"/>
      <c r="J1259" s="3"/>
      <c r="L1259" s="3"/>
      <c r="N1259" s="3"/>
      <c r="P1259" s="3"/>
      <c r="AG1259" s="4"/>
    </row>
    <row r="1260" s="2" customFormat="true" ht="12.8" hidden="false" customHeight="false" outlineLevel="0" collapsed="false">
      <c r="A1260" s="1"/>
      <c r="H1260" s="3"/>
      <c r="J1260" s="3"/>
      <c r="L1260" s="3"/>
      <c r="N1260" s="3"/>
      <c r="P1260" s="3"/>
      <c r="AG1260" s="4"/>
    </row>
    <row r="1261" s="2" customFormat="true" ht="12.8" hidden="false" customHeight="false" outlineLevel="0" collapsed="false">
      <c r="A1261" s="1"/>
      <c r="H1261" s="3"/>
      <c r="J1261" s="3"/>
      <c r="L1261" s="3"/>
      <c r="N1261" s="3"/>
      <c r="P1261" s="3"/>
      <c r="AG1261" s="4"/>
    </row>
    <row r="1262" s="2" customFormat="true" ht="12.8" hidden="false" customHeight="false" outlineLevel="0" collapsed="false">
      <c r="A1262" s="1"/>
      <c r="H1262" s="3"/>
      <c r="J1262" s="3"/>
      <c r="L1262" s="3"/>
      <c r="N1262" s="3"/>
      <c r="P1262" s="3"/>
      <c r="AG1262" s="4"/>
    </row>
    <row r="1263" s="2" customFormat="true" ht="12.8" hidden="false" customHeight="false" outlineLevel="0" collapsed="false">
      <c r="A1263" s="1"/>
      <c r="H1263" s="3"/>
      <c r="J1263" s="3"/>
      <c r="L1263" s="3"/>
      <c r="N1263" s="3"/>
      <c r="P1263" s="3"/>
      <c r="AG1263" s="4"/>
    </row>
    <row r="1264" s="2" customFormat="true" ht="12.8" hidden="false" customHeight="false" outlineLevel="0" collapsed="false">
      <c r="A1264" s="1"/>
      <c r="H1264" s="3"/>
      <c r="J1264" s="3"/>
      <c r="L1264" s="3"/>
      <c r="N1264" s="3"/>
      <c r="P1264" s="3"/>
      <c r="AG1264" s="4"/>
    </row>
    <row r="1265" s="2" customFormat="true" ht="12.8" hidden="false" customHeight="false" outlineLevel="0" collapsed="false">
      <c r="A1265" s="1"/>
      <c r="H1265" s="3"/>
      <c r="J1265" s="3"/>
      <c r="L1265" s="3"/>
      <c r="N1265" s="3"/>
      <c r="P1265" s="3"/>
      <c r="AG1265" s="4"/>
    </row>
    <row r="1266" s="2" customFormat="true" ht="12.8" hidden="false" customHeight="false" outlineLevel="0" collapsed="false">
      <c r="A1266" s="1"/>
      <c r="H1266" s="3"/>
      <c r="J1266" s="3"/>
      <c r="L1266" s="3"/>
      <c r="N1266" s="3"/>
      <c r="P1266" s="3"/>
      <c r="AG1266" s="4"/>
    </row>
    <row r="1267" s="2" customFormat="true" ht="12.8" hidden="false" customHeight="false" outlineLevel="0" collapsed="false">
      <c r="A1267" s="1"/>
      <c r="H1267" s="3"/>
      <c r="J1267" s="3"/>
      <c r="L1267" s="3"/>
      <c r="N1267" s="3"/>
      <c r="P1267" s="3"/>
      <c r="AG1267" s="4"/>
    </row>
    <row r="1268" s="2" customFormat="true" ht="12.8" hidden="false" customHeight="false" outlineLevel="0" collapsed="false">
      <c r="A1268" s="1"/>
      <c r="H1268" s="3"/>
      <c r="J1268" s="3"/>
      <c r="L1268" s="3"/>
      <c r="N1268" s="3"/>
      <c r="P1268" s="3"/>
      <c r="AG1268" s="4"/>
    </row>
    <row r="1269" s="2" customFormat="true" ht="12.8" hidden="false" customHeight="false" outlineLevel="0" collapsed="false">
      <c r="A1269" s="1"/>
      <c r="H1269" s="3"/>
      <c r="J1269" s="3"/>
      <c r="L1269" s="3"/>
      <c r="N1269" s="3"/>
      <c r="P1269" s="3"/>
      <c r="AG1269" s="4"/>
    </row>
    <row r="1270" s="2" customFormat="true" ht="12.8" hidden="false" customHeight="false" outlineLevel="0" collapsed="false">
      <c r="A1270" s="1"/>
      <c r="H1270" s="3"/>
      <c r="J1270" s="3"/>
      <c r="L1270" s="3"/>
      <c r="N1270" s="3"/>
      <c r="P1270" s="3"/>
      <c r="AG1270" s="4"/>
    </row>
    <row r="1271" s="2" customFormat="true" ht="12.8" hidden="false" customHeight="false" outlineLevel="0" collapsed="false">
      <c r="A1271" s="1"/>
      <c r="H1271" s="3"/>
      <c r="J1271" s="3"/>
      <c r="L1271" s="3"/>
      <c r="N1271" s="3"/>
      <c r="P1271" s="3"/>
      <c r="AG1271" s="4"/>
    </row>
    <row r="1272" s="2" customFormat="true" ht="12.8" hidden="false" customHeight="false" outlineLevel="0" collapsed="false">
      <c r="A1272" s="1"/>
      <c r="H1272" s="3"/>
      <c r="J1272" s="3"/>
      <c r="L1272" s="3"/>
      <c r="N1272" s="3"/>
      <c r="P1272" s="3"/>
      <c r="AG1272" s="4"/>
    </row>
    <row r="1273" s="2" customFormat="true" ht="12.8" hidden="false" customHeight="false" outlineLevel="0" collapsed="false">
      <c r="A1273" s="1"/>
      <c r="H1273" s="3"/>
      <c r="J1273" s="3"/>
      <c r="L1273" s="3"/>
      <c r="N1273" s="3"/>
      <c r="P1273" s="3"/>
      <c r="AG1273" s="4"/>
    </row>
    <row r="1274" s="2" customFormat="true" ht="12.8" hidden="false" customHeight="false" outlineLevel="0" collapsed="false">
      <c r="A1274" s="1"/>
      <c r="H1274" s="3"/>
      <c r="J1274" s="3"/>
      <c r="L1274" s="3"/>
      <c r="N1274" s="3"/>
      <c r="P1274" s="3"/>
      <c r="AG1274" s="4"/>
    </row>
    <row r="1275" s="2" customFormat="true" ht="12.8" hidden="false" customHeight="false" outlineLevel="0" collapsed="false">
      <c r="A1275" s="1"/>
      <c r="H1275" s="3"/>
      <c r="J1275" s="3"/>
      <c r="L1275" s="3"/>
      <c r="N1275" s="3"/>
      <c r="P1275" s="3"/>
      <c r="AG1275" s="4"/>
    </row>
    <row r="1276" s="2" customFormat="true" ht="12.8" hidden="false" customHeight="false" outlineLevel="0" collapsed="false">
      <c r="A1276" s="1"/>
      <c r="H1276" s="3"/>
      <c r="J1276" s="3"/>
      <c r="L1276" s="3"/>
      <c r="N1276" s="3"/>
      <c r="P1276" s="3"/>
      <c r="AG1276" s="4"/>
    </row>
    <row r="1277" s="2" customFormat="true" ht="12.8" hidden="false" customHeight="false" outlineLevel="0" collapsed="false">
      <c r="A1277" s="1"/>
      <c r="H1277" s="3"/>
      <c r="J1277" s="3"/>
      <c r="L1277" s="3"/>
      <c r="N1277" s="3"/>
      <c r="P1277" s="3"/>
      <c r="AG1277" s="4"/>
    </row>
    <row r="1278" s="2" customFormat="true" ht="12.8" hidden="false" customHeight="false" outlineLevel="0" collapsed="false">
      <c r="A1278" s="1"/>
      <c r="H1278" s="3"/>
      <c r="J1278" s="3"/>
      <c r="L1278" s="3"/>
      <c r="N1278" s="3"/>
      <c r="P1278" s="3"/>
      <c r="AG1278" s="4"/>
    </row>
    <row r="1279" s="2" customFormat="true" ht="12.8" hidden="false" customHeight="false" outlineLevel="0" collapsed="false">
      <c r="A1279" s="1"/>
      <c r="H1279" s="3"/>
      <c r="J1279" s="3"/>
      <c r="L1279" s="3"/>
      <c r="N1279" s="3"/>
      <c r="P1279" s="3"/>
      <c r="AG1279" s="4"/>
    </row>
    <row r="1280" s="2" customFormat="true" ht="12.8" hidden="false" customHeight="false" outlineLevel="0" collapsed="false">
      <c r="A1280" s="1"/>
      <c r="H1280" s="3"/>
      <c r="J1280" s="3"/>
      <c r="L1280" s="3"/>
      <c r="N1280" s="3"/>
      <c r="P1280" s="3"/>
      <c r="AG1280" s="4"/>
    </row>
    <row r="1281" s="2" customFormat="true" ht="12.8" hidden="false" customHeight="false" outlineLevel="0" collapsed="false">
      <c r="A1281" s="1"/>
      <c r="H1281" s="3"/>
      <c r="J1281" s="3"/>
      <c r="L1281" s="3"/>
      <c r="N1281" s="3"/>
      <c r="P1281" s="3"/>
      <c r="AG1281" s="4"/>
    </row>
    <row r="1282" s="2" customFormat="true" ht="12.8" hidden="false" customHeight="false" outlineLevel="0" collapsed="false">
      <c r="A1282" s="1"/>
      <c r="H1282" s="3"/>
      <c r="J1282" s="3"/>
      <c r="L1282" s="3"/>
      <c r="N1282" s="3"/>
      <c r="P1282" s="3"/>
      <c r="AG1282" s="4"/>
    </row>
    <row r="1283" s="2" customFormat="true" ht="12.8" hidden="false" customHeight="false" outlineLevel="0" collapsed="false">
      <c r="A1283" s="1"/>
      <c r="H1283" s="3"/>
      <c r="J1283" s="3"/>
      <c r="L1283" s="3"/>
      <c r="N1283" s="3"/>
      <c r="P1283" s="3"/>
      <c r="AG1283" s="4"/>
    </row>
    <row r="1284" s="2" customFormat="true" ht="12.8" hidden="false" customHeight="false" outlineLevel="0" collapsed="false">
      <c r="A1284" s="1"/>
      <c r="H1284" s="3"/>
      <c r="J1284" s="3"/>
      <c r="L1284" s="3"/>
      <c r="N1284" s="3"/>
      <c r="P1284" s="3"/>
      <c r="AG1284" s="4"/>
    </row>
    <row r="1285" s="2" customFormat="true" ht="12.8" hidden="false" customHeight="false" outlineLevel="0" collapsed="false">
      <c r="A1285" s="1"/>
      <c r="H1285" s="3"/>
      <c r="J1285" s="3"/>
      <c r="L1285" s="3"/>
      <c r="N1285" s="3"/>
      <c r="P1285" s="3"/>
      <c r="AG1285" s="4"/>
    </row>
    <row r="1286" s="2" customFormat="true" ht="12.8" hidden="false" customHeight="false" outlineLevel="0" collapsed="false">
      <c r="A1286" s="1"/>
      <c r="H1286" s="3"/>
      <c r="J1286" s="3"/>
      <c r="L1286" s="3"/>
      <c r="N1286" s="3"/>
      <c r="P1286" s="3"/>
      <c r="AG1286" s="4"/>
    </row>
    <row r="1287" s="2" customFormat="true" ht="12.8" hidden="false" customHeight="false" outlineLevel="0" collapsed="false">
      <c r="A1287" s="1"/>
      <c r="H1287" s="3"/>
      <c r="J1287" s="3"/>
      <c r="L1287" s="3"/>
      <c r="N1287" s="3"/>
      <c r="P1287" s="3"/>
      <c r="AG1287" s="4"/>
    </row>
    <row r="1288" s="2" customFormat="true" ht="12.8" hidden="false" customHeight="false" outlineLevel="0" collapsed="false">
      <c r="A1288" s="1"/>
      <c r="H1288" s="3"/>
      <c r="J1288" s="3"/>
      <c r="L1288" s="3"/>
      <c r="N1288" s="3"/>
      <c r="P1288" s="3"/>
      <c r="AG1288" s="4"/>
    </row>
    <row r="1289" s="2" customFormat="true" ht="12.8" hidden="false" customHeight="false" outlineLevel="0" collapsed="false">
      <c r="A1289" s="1"/>
      <c r="H1289" s="3"/>
      <c r="J1289" s="3"/>
      <c r="L1289" s="3"/>
      <c r="N1289" s="3"/>
      <c r="P1289" s="3"/>
      <c r="AG1289" s="4"/>
    </row>
    <row r="1290" s="2" customFormat="true" ht="12.8" hidden="false" customHeight="false" outlineLevel="0" collapsed="false">
      <c r="A1290" s="1"/>
      <c r="H1290" s="3"/>
      <c r="J1290" s="3"/>
      <c r="L1290" s="3"/>
      <c r="N1290" s="3"/>
      <c r="P1290" s="3"/>
      <c r="AG1290" s="4"/>
    </row>
    <row r="1291" s="2" customFormat="true" ht="12.8" hidden="false" customHeight="false" outlineLevel="0" collapsed="false">
      <c r="A1291" s="1"/>
      <c r="H1291" s="3"/>
      <c r="J1291" s="3"/>
      <c r="L1291" s="3"/>
      <c r="N1291" s="3"/>
      <c r="P1291" s="3"/>
      <c r="AG1291" s="4"/>
    </row>
    <row r="1292" s="2" customFormat="true" ht="12.8" hidden="false" customHeight="false" outlineLevel="0" collapsed="false">
      <c r="A1292" s="1"/>
      <c r="H1292" s="3"/>
      <c r="J1292" s="3"/>
      <c r="L1292" s="3"/>
      <c r="N1292" s="3"/>
      <c r="P1292" s="3"/>
      <c r="AG1292" s="4"/>
    </row>
    <row r="1293" s="2" customFormat="true" ht="12.8" hidden="false" customHeight="false" outlineLevel="0" collapsed="false">
      <c r="A1293" s="1"/>
      <c r="H1293" s="3"/>
      <c r="J1293" s="3"/>
      <c r="L1293" s="3"/>
      <c r="N1293" s="3"/>
      <c r="P1293" s="3"/>
      <c r="AG1293" s="4"/>
    </row>
    <row r="1294" s="2" customFormat="true" ht="12.8" hidden="false" customHeight="false" outlineLevel="0" collapsed="false">
      <c r="A1294" s="1"/>
      <c r="H1294" s="3"/>
      <c r="J1294" s="3"/>
      <c r="L1294" s="3"/>
      <c r="N1294" s="3"/>
      <c r="P1294" s="3"/>
      <c r="AG1294" s="4"/>
    </row>
    <row r="1295" s="2" customFormat="true" ht="12.8" hidden="false" customHeight="false" outlineLevel="0" collapsed="false">
      <c r="A1295" s="1"/>
      <c r="H1295" s="3"/>
      <c r="J1295" s="3"/>
      <c r="L1295" s="3"/>
      <c r="N1295" s="3"/>
      <c r="P1295" s="3"/>
      <c r="AG1295" s="4"/>
    </row>
    <row r="1296" s="2" customFormat="true" ht="12.8" hidden="false" customHeight="false" outlineLevel="0" collapsed="false">
      <c r="A1296" s="1"/>
      <c r="H1296" s="3"/>
      <c r="J1296" s="3"/>
      <c r="L1296" s="3"/>
      <c r="N1296" s="3"/>
      <c r="P1296" s="3"/>
      <c r="AG1296" s="4"/>
    </row>
    <row r="1297" s="2" customFormat="true" ht="12.8" hidden="false" customHeight="false" outlineLevel="0" collapsed="false">
      <c r="A1297" s="1"/>
      <c r="H1297" s="3"/>
      <c r="J1297" s="3"/>
      <c r="L1297" s="3"/>
      <c r="N1297" s="3"/>
      <c r="P1297" s="3"/>
      <c r="AG1297" s="4"/>
    </row>
    <row r="1298" s="2" customFormat="true" ht="12.8" hidden="false" customHeight="false" outlineLevel="0" collapsed="false">
      <c r="A1298" s="1"/>
      <c r="H1298" s="3"/>
      <c r="J1298" s="3"/>
      <c r="L1298" s="3"/>
      <c r="N1298" s="3"/>
      <c r="P1298" s="3"/>
      <c r="AG1298" s="4"/>
    </row>
    <row r="1299" s="2" customFormat="true" ht="12.8" hidden="false" customHeight="false" outlineLevel="0" collapsed="false">
      <c r="A1299" s="1"/>
      <c r="H1299" s="3"/>
      <c r="J1299" s="3"/>
      <c r="L1299" s="3"/>
      <c r="N1299" s="3"/>
      <c r="P1299" s="3"/>
      <c r="AG1299" s="4"/>
    </row>
    <row r="1300" s="2" customFormat="true" ht="12.8" hidden="false" customHeight="false" outlineLevel="0" collapsed="false">
      <c r="A1300" s="1"/>
      <c r="H1300" s="3"/>
      <c r="J1300" s="3"/>
      <c r="L1300" s="3"/>
      <c r="N1300" s="3"/>
      <c r="P1300" s="3"/>
      <c r="AG1300" s="4"/>
    </row>
    <row r="1301" s="2" customFormat="true" ht="12.8" hidden="false" customHeight="false" outlineLevel="0" collapsed="false">
      <c r="A1301" s="1"/>
      <c r="H1301" s="3"/>
      <c r="J1301" s="3"/>
      <c r="L1301" s="3"/>
      <c r="N1301" s="3"/>
      <c r="P1301" s="3"/>
      <c r="AG1301" s="4"/>
    </row>
    <row r="1302" s="2" customFormat="true" ht="12.8" hidden="false" customHeight="false" outlineLevel="0" collapsed="false">
      <c r="A1302" s="1"/>
      <c r="H1302" s="3"/>
      <c r="J1302" s="3"/>
      <c r="L1302" s="3"/>
      <c r="N1302" s="3"/>
      <c r="P1302" s="3"/>
      <c r="AG1302" s="4"/>
    </row>
    <row r="1303" s="2" customFormat="true" ht="12.8" hidden="false" customHeight="false" outlineLevel="0" collapsed="false">
      <c r="A1303" s="1"/>
      <c r="H1303" s="3"/>
      <c r="J1303" s="3"/>
      <c r="L1303" s="3"/>
      <c r="N1303" s="3"/>
      <c r="P1303" s="3"/>
      <c r="AG1303" s="4"/>
    </row>
    <row r="1304" s="2" customFormat="true" ht="12.8" hidden="false" customHeight="false" outlineLevel="0" collapsed="false">
      <c r="A1304" s="1"/>
      <c r="H1304" s="3"/>
      <c r="J1304" s="3"/>
      <c r="L1304" s="3"/>
      <c r="N1304" s="3"/>
      <c r="P1304" s="3"/>
      <c r="AG1304" s="4"/>
    </row>
    <row r="1305" s="2" customFormat="true" ht="12.8" hidden="false" customHeight="false" outlineLevel="0" collapsed="false">
      <c r="A1305" s="1"/>
      <c r="H1305" s="3"/>
      <c r="J1305" s="3"/>
      <c r="L1305" s="3"/>
      <c r="N1305" s="3"/>
      <c r="P1305" s="3"/>
      <c r="AG1305" s="4"/>
    </row>
    <row r="1306" s="2" customFormat="true" ht="12.8" hidden="false" customHeight="false" outlineLevel="0" collapsed="false">
      <c r="A1306" s="1"/>
      <c r="H1306" s="3"/>
      <c r="J1306" s="3"/>
      <c r="L1306" s="3"/>
      <c r="N1306" s="3"/>
      <c r="P1306" s="3"/>
      <c r="AG1306" s="4"/>
    </row>
    <row r="1307" s="2" customFormat="true" ht="12.8" hidden="false" customHeight="false" outlineLevel="0" collapsed="false">
      <c r="A1307" s="1"/>
      <c r="H1307" s="3"/>
      <c r="J1307" s="3"/>
      <c r="L1307" s="3"/>
      <c r="N1307" s="3"/>
      <c r="P1307" s="3"/>
      <c r="AG1307" s="4"/>
    </row>
    <row r="1308" s="2" customFormat="true" ht="12.8" hidden="false" customHeight="false" outlineLevel="0" collapsed="false">
      <c r="A1308" s="1"/>
      <c r="H1308" s="3"/>
      <c r="J1308" s="3"/>
      <c r="L1308" s="3"/>
      <c r="N1308" s="3"/>
      <c r="P1308" s="3"/>
      <c r="AG1308" s="4"/>
    </row>
    <row r="1309" s="2" customFormat="true" ht="12.8" hidden="false" customHeight="false" outlineLevel="0" collapsed="false">
      <c r="A1309" s="1"/>
      <c r="H1309" s="3"/>
      <c r="J1309" s="3"/>
      <c r="L1309" s="3"/>
      <c r="N1309" s="3"/>
      <c r="P1309" s="3"/>
      <c r="AG1309" s="4"/>
    </row>
    <row r="1310" s="2" customFormat="true" ht="12.8" hidden="false" customHeight="false" outlineLevel="0" collapsed="false">
      <c r="A1310" s="1"/>
      <c r="H1310" s="3"/>
      <c r="J1310" s="3"/>
      <c r="L1310" s="3"/>
      <c r="N1310" s="3"/>
      <c r="P1310" s="3"/>
      <c r="AG1310" s="4"/>
    </row>
    <row r="1311" s="2" customFormat="true" ht="12.8" hidden="false" customHeight="false" outlineLevel="0" collapsed="false">
      <c r="A1311" s="1"/>
      <c r="H1311" s="3"/>
      <c r="J1311" s="3"/>
      <c r="L1311" s="3"/>
      <c r="N1311" s="3"/>
      <c r="P1311" s="3"/>
      <c r="AG1311" s="4"/>
    </row>
    <row r="1312" s="2" customFormat="true" ht="12.8" hidden="false" customHeight="false" outlineLevel="0" collapsed="false">
      <c r="A1312" s="1"/>
      <c r="H1312" s="3"/>
      <c r="J1312" s="3"/>
      <c r="L1312" s="3"/>
      <c r="N1312" s="3"/>
      <c r="P1312" s="3"/>
      <c r="AG1312" s="4"/>
    </row>
    <row r="1313" s="2" customFormat="true" ht="12.8" hidden="false" customHeight="false" outlineLevel="0" collapsed="false">
      <c r="A1313" s="1"/>
      <c r="H1313" s="3"/>
      <c r="J1313" s="3"/>
      <c r="L1313" s="3"/>
      <c r="N1313" s="3"/>
      <c r="P1313" s="3"/>
      <c r="AG1313" s="4"/>
    </row>
    <row r="1314" s="2" customFormat="true" ht="12.8" hidden="false" customHeight="false" outlineLevel="0" collapsed="false">
      <c r="A1314" s="1"/>
      <c r="H1314" s="3"/>
      <c r="J1314" s="3"/>
      <c r="L1314" s="3"/>
      <c r="N1314" s="3"/>
      <c r="P1314" s="3"/>
      <c r="AG1314" s="4"/>
    </row>
    <row r="1315" s="2" customFormat="true" ht="12.8" hidden="false" customHeight="false" outlineLevel="0" collapsed="false">
      <c r="A1315" s="1"/>
      <c r="H1315" s="3"/>
      <c r="J1315" s="3"/>
      <c r="L1315" s="3"/>
      <c r="N1315" s="3"/>
      <c r="P1315" s="3"/>
      <c r="AG1315" s="4"/>
    </row>
    <row r="1316" s="2" customFormat="true" ht="12.8" hidden="false" customHeight="false" outlineLevel="0" collapsed="false">
      <c r="A1316" s="1"/>
      <c r="H1316" s="3"/>
      <c r="J1316" s="3"/>
      <c r="L1316" s="3"/>
      <c r="N1316" s="3"/>
      <c r="P1316" s="3"/>
      <c r="AG1316" s="4"/>
    </row>
    <row r="1317" s="2" customFormat="true" ht="12.8" hidden="false" customHeight="false" outlineLevel="0" collapsed="false">
      <c r="A1317" s="1"/>
      <c r="H1317" s="3"/>
      <c r="J1317" s="3"/>
      <c r="L1317" s="3"/>
      <c r="N1317" s="3"/>
      <c r="P1317" s="3"/>
      <c r="AG1317" s="4"/>
    </row>
    <row r="1318" s="2" customFormat="true" ht="12.8" hidden="false" customHeight="false" outlineLevel="0" collapsed="false">
      <c r="A1318" s="1"/>
      <c r="H1318" s="3"/>
      <c r="J1318" s="3"/>
      <c r="L1318" s="3"/>
      <c r="N1318" s="3"/>
      <c r="P1318" s="3"/>
      <c r="AG1318" s="4"/>
    </row>
    <row r="1319" s="2" customFormat="true" ht="12.8" hidden="false" customHeight="false" outlineLevel="0" collapsed="false">
      <c r="A1319" s="1"/>
      <c r="H1319" s="3"/>
      <c r="J1319" s="3"/>
      <c r="L1319" s="3"/>
      <c r="N1319" s="3"/>
      <c r="P1319" s="3"/>
      <c r="AG1319" s="4"/>
    </row>
    <row r="1320" s="2" customFormat="true" ht="12.8" hidden="false" customHeight="false" outlineLevel="0" collapsed="false">
      <c r="A1320" s="1"/>
      <c r="H1320" s="3"/>
      <c r="J1320" s="3"/>
      <c r="L1320" s="3"/>
      <c r="N1320" s="3"/>
      <c r="P1320" s="3"/>
      <c r="AG1320" s="4"/>
    </row>
    <row r="1321" s="2" customFormat="true" ht="12.8" hidden="false" customHeight="false" outlineLevel="0" collapsed="false">
      <c r="A1321" s="1"/>
      <c r="H1321" s="3"/>
      <c r="J1321" s="3"/>
      <c r="L1321" s="3"/>
      <c r="N1321" s="3"/>
      <c r="P1321" s="3"/>
      <c r="AG1321" s="4"/>
    </row>
    <row r="1322" s="2" customFormat="true" ht="12.8" hidden="false" customHeight="false" outlineLevel="0" collapsed="false">
      <c r="A1322" s="1"/>
      <c r="H1322" s="3"/>
      <c r="J1322" s="3"/>
      <c r="L1322" s="3"/>
      <c r="N1322" s="3"/>
      <c r="P1322" s="3"/>
      <c r="AG1322" s="4"/>
    </row>
    <row r="1323" s="2" customFormat="true" ht="12.8" hidden="false" customHeight="false" outlineLevel="0" collapsed="false">
      <c r="A1323" s="1"/>
      <c r="H1323" s="3"/>
      <c r="J1323" s="3"/>
      <c r="L1323" s="3"/>
      <c r="N1323" s="3"/>
      <c r="P1323" s="3"/>
      <c r="AG1323" s="4"/>
    </row>
    <row r="1324" s="2" customFormat="true" ht="12.8" hidden="false" customHeight="false" outlineLevel="0" collapsed="false">
      <c r="A1324" s="1"/>
      <c r="H1324" s="3"/>
      <c r="J1324" s="3"/>
      <c r="L1324" s="3"/>
      <c r="N1324" s="3"/>
      <c r="P1324" s="3"/>
      <c r="AG1324" s="4"/>
    </row>
    <row r="1325" s="2" customFormat="true" ht="12.8" hidden="false" customHeight="false" outlineLevel="0" collapsed="false">
      <c r="A1325" s="1"/>
      <c r="H1325" s="3"/>
      <c r="J1325" s="3"/>
      <c r="L1325" s="3"/>
      <c r="N1325" s="3"/>
      <c r="P1325" s="3"/>
      <c r="AG1325" s="4"/>
    </row>
    <row r="1326" s="2" customFormat="true" ht="12.8" hidden="false" customHeight="false" outlineLevel="0" collapsed="false">
      <c r="A1326" s="1"/>
      <c r="H1326" s="3"/>
      <c r="J1326" s="3"/>
      <c r="L1326" s="3"/>
      <c r="N1326" s="3"/>
      <c r="P1326" s="3"/>
      <c r="AG1326" s="4"/>
    </row>
    <row r="1327" s="2" customFormat="true" ht="12.8" hidden="false" customHeight="false" outlineLevel="0" collapsed="false">
      <c r="A1327" s="1"/>
      <c r="H1327" s="3"/>
      <c r="J1327" s="3"/>
      <c r="L1327" s="3"/>
      <c r="N1327" s="3"/>
      <c r="P1327" s="3"/>
      <c r="AG1327" s="4"/>
    </row>
    <row r="1328" s="2" customFormat="true" ht="12.8" hidden="false" customHeight="false" outlineLevel="0" collapsed="false">
      <c r="A1328" s="1"/>
      <c r="H1328" s="3"/>
      <c r="J1328" s="3"/>
      <c r="L1328" s="3"/>
      <c r="N1328" s="3"/>
      <c r="P1328" s="3"/>
      <c r="AG1328" s="4"/>
    </row>
    <row r="1329" s="2" customFormat="true" ht="12.8" hidden="false" customHeight="false" outlineLevel="0" collapsed="false">
      <c r="A1329" s="1"/>
      <c r="H1329" s="3"/>
      <c r="J1329" s="3"/>
      <c r="L1329" s="3"/>
      <c r="N1329" s="3"/>
      <c r="P1329" s="3"/>
      <c r="AG1329" s="4"/>
    </row>
    <row r="1330" s="2" customFormat="true" ht="12.8" hidden="false" customHeight="false" outlineLevel="0" collapsed="false">
      <c r="A1330" s="1"/>
      <c r="H1330" s="3"/>
      <c r="J1330" s="3"/>
      <c r="L1330" s="3"/>
      <c r="N1330" s="3"/>
      <c r="P1330" s="3"/>
      <c r="AG1330" s="4"/>
    </row>
    <row r="1331" s="2" customFormat="true" ht="12.8" hidden="false" customHeight="false" outlineLevel="0" collapsed="false">
      <c r="A1331" s="1"/>
      <c r="H1331" s="3"/>
      <c r="J1331" s="3"/>
      <c r="L1331" s="3"/>
      <c r="N1331" s="3"/>
      <c r="P1331" s="3"/>
      <c r="AG1331" s="4"/>
    </row>
    <row r="1332" s="2" customFormat="true" ht="12.8" hidden="false" customHeight="false" outlineLevel="0" collapsed="false">
      <c r="A1332" s="1"/>
      <c r="H1332" s="3"/>
      <c r="J1332" s="3"/>
      <c r="L1332" s="3"/>
      <c r="N1332" s="3"/>
      <c r="P1332" s="3"/>
      <c r="AG1332" s="4"/>
    </row>
    <row r="1333" s="2" customFormat="true" ht="12.8" hidden="false" customHeight="false" outlineLevel="0" collapsed="false">
      <c r="A1333" s="1"/>
      <c r="H1333" s="3"/>
      <c r="J1333" s="3"/>
      <c r="L1333" s="3"/>
      <c r="N1333" s="3"/>
      <c r="P1333" s="3"/>
      <c r="AG1333" s="4"/>
    </row>
    <row r="1334" s="2" customFormat="true" ht="12.8" hidden="false" customHeight="false" outlineLevel="0" collapsed="false">
      <c r="A1334" s="1"/>
      <c r="H1334" s="3"/>
      <c r="J1334" s="3"/>
      <c r="L1334" s="3"/>
      <c r="N1334" s="3"/>
      <c r="P1334" s="3"/>
      <c r="AG1334" s="4"/>
    </row>
    <row r="1335" s="2" customFormat="true" ht="12.8" hidden="false" customHeight="false" outlineLevel="0" collapsed="false">
      <c r="A1335" s="1"/>
      <c r="H1335" s="3"/>
      <c r="J1335" s="3"/>
      <c r="L1335" s="3"/>
      <c r="N1335" s="3"/>
      <c r="P1335" s="3"/>
      <c r="AG1335" s="4"/>
    </row>
    <row r="1336" s="2" customFormat="true" ht="12.8" hidden="false" customHeight="false" outlineLevel="0" collapsed="false">
      <c r="A1336" s="1"/>
      <c r="H1336" s="3"/>
      <c r="J1336" s="3"/>
      <c r="L1336" s="3"/>
      <c r="N1336" s="3"/>
      <c r="P1336" s="3"/>
      <c r="AG1336" s="4"/>
    </row>
    <row r="1337" s="2" customFormat="true" ht="12.8" hidden="false" customHeight="false" outlineLevel="0" collapsed="false">
      <c r="A1337" s="1"/>
      <c r="H1337" s="3"/>
      <c r="J1337" s="3"/>
      <c r="L1337" s="3"/>
      <c r="N1337" s="3"/>
      <c r="P1337" s="3"/>
      <c r="AG1337" s="4"/>
    </row>
    <row r="1338" s="2" customFormat="true" ht="12.8" hidden="false" customHeight="false" outlineLevel="0" collapsed="false">
      <c r="A1338" s="1"/>
      <c r="H1338" s="3"/>
      <c r="J1338" s="3"/>
      <c r="L1338" s="3"/>
      <c r="N1338" s="3"/>
      <c r="P1338" s="3"/>
      <c r="AG1338" s="4"/>
    </row>
    <row r="1339" s="2" customFormat="true" ht="12.8" hidden="false" customHeight="false" outlineLevel="0" collapsed="false">
      <c r="A1339" s="1"/>
      <c r="H1339" s="3"/>
      <c r="J1339" s="3"/>
      <c r="L1339" s="3"/>
      <c r="N1339" s="3"/>
      <c r="P1339" s="3"/>
      <c r="AG1339" s="4"/>
    </row>
    <row r="1340" s="2" customFormat="true" ht="12.8" hidden="false" customHeight="false" outlineLevel="0" collapsed="false">
      <c r="A1340" s="1"/>
      <c r="H1340" s="3"/>
      <c r="J1340" s="3"/>
      <c r="L1340" s="3"/>
      <c r="N1340" s="3"/>
      <c r="P1340" s="3"/>
      <c r="AG1340" s="4"/>
    </row>
    <row r="1341" s="2" customFormat="true" ht="12.8" hidden="false" customHeight="false" outlineLevel="0" collapsed="false">
      <c r="A1341" s="1"/>
      <c r="H1341" s="3"/>
      <c r="J1341" s="3"/>
      <c r="L1341" s="3"/>
      <c r="N1341" s="3"/>
      <c r="P1341" s="3"/>
      <c r="AG1341" s="4"/>
    </row>
    <row r="1342" s="2" customFormat="true" ht="12.8" hidden="false" customHeight="false" outlineLevel="0" collapsed="false">
      <c r="A1342" s="1"/>
      <c r="H1342" s="3"/>
      <c r="J1342" s="3"/>
      <c r="L1342" s="3"/>
      <c r="N1342" s="3"/>
      <c r="P1342" s="3"/>
      <c r="AG1342" s="4"/>
    </row>
    <row r="1343" s="2" customFormat="true" ht="12.8" hidden="false" customHeight="false" outlineLevel="0" collapsed="false">
      <c r="A1343" s="1"/>
      <c r="H1343" s="3"/>
      <c r="J1343" s="3"/>
      <c r="L1343" s="3"/>
      <c r="N1343" s="3"/>
      <c r="P1343" s="3"/>
      <c r="AG1343" s="4"/>
    </row>
    <row r="1344" s="2" customFormat="true" ht="12.8" hidden="false" customHeight="false" outlineLevel="0" collapsed="false">
      <c r="A1344" s="1"/>
      <c r="H1344" s="3"/>
      <c r="J1344" s="3"/>
      <c r="L1344" s="3"/>
      <c r="N1344" s="3"/>
      <c r="P1344" s="3"/>
      <c r="AG1344" s="4"/>
    </row>
    <row r="1345" s="2" customFormat="true" ht="12.8" hidden="false" customHeight="false" outlineLevel="0" collapsed="false">
      <c r="A1345" s="1"/>
      <c r="H1345" s="3"/>
      <c r="J1345" s="3"/>
      <c r="L1345" s="3"/>
      <c r="N1345" s="3"/>
      <c r="P1345" s="3"/>
      <c r="AG1345" s="4"/>
    </row>
    <row r="1346" s="2" customFormat="true" ht="12.8" hidden="false" customHeight="false" outlineLevel="0" collapsed="false">
      <c r="A1346" s="1"/>
      <c r="H1346" s="3"/>
      <c r="J1346" s="3"/>
      <c r="L1346" s="3"/>
      <c r="N1346" s="3"/>
      <c r="P1346" s="3"/>
      <c r="AG1346" s="4"/>
    </row>
    <row r="1347" s="2" customFormat="true" ht="12.8" hidden="false" customHeight="false" outlineLevel="0" collapsed="false">
      <c r="A1347" s="1"/>
      <c r="H1347" s="3"/>
      <c r="J1347" s="3"/>
      <c r="L1347" s="3"/>
      <c r="N1347" s="3"/>
      <c r="P1347" s="3"/>
      <c r="AG1347" s="4"/>
    </row>
    <row r="1348" s="2" customFormat="true" ht="12.8" hidden="false" customHeight="false" outlineLevel="0" collapsed="false">
      <c r="A1348" s="1"/>
      <c r="H1348" s="3"/>
      <c r="J1348" s="3"/>
      <c r="L1348" s="3"/>
      <c r="N1348" s="3"/>
      <c r="P1348" s="3"/>
      <c r="AG1348" s="4"/>
    </row>
    <row r="1349" s="2" customFormat="true" ht="12.8" hidden="false" customHeight="false" outlineLevel="0" collapsed="false">
      <c r="A1349" s="1"/>
      <c r="H1349" s="3"/>
      <c r="J1349" s="3"/>
      <c r="L1349" s="3"/>
      <c r="N1349" s="3"/>
      <c r="P1349" s="3"/>
      <c r="AG1349" s="4"/>
    </row>
    <row r="1350" s="2" customFormat="true" ht="12.8" hidden="false" customHeight="false" outlineLevel="0" collapsed="false">
      <c r="A1350" s="1"/>
      <c r="H1350" s="3"/>
      <c r="J1350" s="3"/>
      <c r="L1350" s="3"/>
      <c r="N1350" s="3"/>
      <c r="P1350" s="3"/>
      <c r="AG1350" s="4"/>
    </row>
    <row r="1351" s="2" customFormat="true" ht="12.8" hidden="false" customHeight="false" outlineLevel="0" collapsed="false">
      <c r="A1351" s="1"/>
      <c r="H1351" s="3"/>
      <c r="J1351" s="3"/>
      <c r="L1351" s="3"/>
      <c r="N1351" s="3"/>
      <c r="P1351" s="3"/>
      <c r="AG1351" s="4"/>
    </row>
    <row r="1352" s="2" customFormat="true" ht="12.8" hidden="false" customHeight="false" outlineLevel="0" collapsed="false">
      <c r="A1352" s="1"/>
      <c r="H1352" s="3"/>
      <c r="J1352" s="3"/>
      <c r="L1352" s="3"/>
      <c r="N1352" s="3"/>
      <c r="P1352" s="3"/>
      <c r="AG1352" s="4"/>
    </row>
    <row r="1353" s="2" customFormat="true" ht="12.8" hidden="false" customHeight="false" outlineLevel="0" collapsed="false">
      <c r="A1353" s="1"/>
      <c r="H1353" s="3"/>
      <c r="J1353" s="3"/>
      <c r="L1353" s="3"/>
      <c r="N1353" s="3"/>
      <c r="P1353" s="3"/>
      <c r="AG1353" s="4"/>
    </row>
    <row r="1354" s="2" customFormat="true" ht="12.8" hidden="false" customHeight="false" outlineLevel="0" collapsed="false">
      <c r="A1354" s="1"/>
      <c r="H1354" s="3"/>
      <c r="J1354" s="3"/>
      <c r="L1354" s="3"/>
      <c r="N1354" s="3"/>
      <c r="P1354" s="3"/>
      <c r="AG1354" s="4"/>
    </row>
    <row r="1355" s="2" customFormat="true" ht="12.8" hidden="false" customHeight="false" outlineLevel="0" collapsed="false">
      <c r="A1355" s="1"/>
      <c r="H1355" s="3"/>
      <c r="J1355" s="3"/>
      <c r="L1355" s="3"/>
      <c r="N1355" s="3"/>
      <c r="P1355" s="3"/>
      <c r="AG1355" s="4"/>
    </row>
    <row r="1356" s="2" customFormat="true" ht="12.8" hidden="false" customHeight="false" outlineLevel="0" collapsed="false">
      <c r="A1356" s="1"/>
      <c r="H1356" s="3"/>
      <c r="J1356" s="3"/>
      <c r="L1356" s="3"/>
      <c r="N1356" s="3"/>
      <c r="P1356" s="3"/>
      <c r="AG1356" s="4"/>
    </row>
    <row r="1357" s="2" customFormat="true" ht="12.8" hidden="false" customHeight="false" outlineLevel="0" collapsed="false">
      <c r="A1357" s="1"/>
      <c r="H1357" s="3"/>
      <c r="J1357" s="3"/>
      <c r="L1357" s="3"/>
      <c r="N1357" s="3"/>
      <c r="P1357" s="3"/>
      <c r="AG1357" s="4"/>
    </row>
    <row r="1358" s="2" customFormat="true" ht="12.8" hidden="false" customHeight="false" outlineLevel="0" collapsed="false">
      <c r="A1358" s="1"/>
      <c r="H1358" s="3"/>
      <c r="J1358" s="3"/>
      <c r="L1358" s="3"/>
      <c r="N1358" s="3"/>
      <c r="P1358" s="3"/>
      <c r="AG1358" s="4"/>
    </row>
    <row r="1359" s="2" customFormat="true" ht="12.8" hidden="false" customHeight="false" outlineLevel="0" collapsed="false">
      <c r="A1359" s="1"/>
      <c r="H1359" s="3"/>
      <c r="J1359" s="3"/>
      <c r="L1359" s="3"/>
      <c r="N1359" s="3"/>
      <c r="P1359" s="3"/>
      <c r="AG1359" s="4"/>
    </row>
    <row r="1360" s="2" customFormat="true" ht="12.8" hidden="false" customHeight="false" outlineLevel="0" collapsed="false">
      <c r="A1360" s="1"/>
      <c r="H1360" s="3"/>
      <c r="J1360" s="3"/>
      <c r="L1360" s="3"/>
      <c r="N1360" s="3"/>
      <c r="P1360" s="3"/>
      <c r="AG1360" s="4"/>
    </row>
    <row r="1361" s="2" customFormat="true" ht="12.8" hidden="false" customHeight="false" outlineLevel="0" collapsed="false">
      <c r="A1361" s="1"/>
      <c r="H1361" s="3"/>
      <c r="J1361" s="3"/>
      <c r="L1361" s="3"/>
      <c r="N1361" s="3"/>
      <c r="P1361" s="3"/>
      <c r="AG1361" s="4"/>
    </row>
    <row r="1362" s="2" customFormat="true" ht="12.8" hidden="false" customHeight="false" outlineLevel="0" collapsed="false">
      <c r="A1362" s="1"/>
      <c r="H1362" s="3"/>
      <c r="J1362" s="3"/>
      <c r="L1362" s="3"/>
      <c r="N1362" s="3"/>
      <c r="P1362" s="3"/>
      <c r="AG1362" s="4"/>
    </row>
    <row r="1363" s="2" customFormat="true" ht="12.8" hidden="false" customHeight="false" outlineLevel="0" collapsed="false">
      <c r="A1363" s="1"/>
      <c r="H1363" s="3"/>
      <c r="J1363" s="3"/>
      <c r="L1363" s="3"/>
      <c r="N1363" s="3"/>
      <c r="P1363" s="3"/>
      <c r="AG1363" s="4"/>
    </row>
    <row r="1364" s="2" customFormat="true" ht="12.8" hidden="false" customHeight="false" outlineLevel="0" collapsed="false">
      <c r="A1364" s="1"/>
      <c r="H1364" s="3"/>
      <c r="J1364" s="3"/>
      <c r="L1364" s="3"/>
      <c r="N1364" s="3"/>
      <c r="P1364" s="3"/>
      <c r="AG1364" s="4"/>
    </row>
    <row r="1365" s="2" customFormat="true" ht="12.8" hidden="false" customHeight="false" outlineLevel="0" collapsed="false">
      <c r="A1365" s="1"/>
      <c r="H1365" s="3"/>
      <c r="J1365" s="3"/>
      <c r="L1365" s="3"/>
      <c r="N1365" s="3"/>
      <c r="P1365" s="3"/>
      <c r="AG1365" s="4"/>
    </row>
    <row r="1366" s="2" customFormat="true" ht="12.8" hidden="false" customHeight="false" outlineLevel="0" collapsed="false">
      <c r="A1366" s="1"/>
      <c r="H1366" s="3"/>
      <c r="J1366" s="3"/>
      <c r="L1366" s="3"/>
      <c r="N1366" s="3"/>
      <c r="P1366" s="3"/>
      <c r="AG1366" s="4"/>
    </row>
    <row r="1367" s="2" customFormat="true" ht="12.8" hidden="false" customHeight="false" outlineLevel="0" collapsed="false">
      <c r="A1367" s="1"/>
      <c r="H1367" s="3"/>
      <c r="J1367" s="3"/>
      <c r="L1367" s="3"/>
      <c r="N1367" s="3"/>
      <c r="P1367" s="3"/>
      <c r="AG1367" s="4"/>
    </row>
    <row r="1368" s="2" customFormat="true" ht="12.8" hidden="false" customHeight="false" outlineLevel="0" collapsed="false">
      <c r="A1368" s="1"/>
      <c r="H1368" s="3"/>
      <c r="J1368" s="3"/>
      <c r="L1368" s="3"/>
      <c r="N1368" s="3"/>
      <c r="P1368" s="3"/>
      <c r="AG1368" s="4"/>
    </row>
    <row r="1369" s="2" customFormat="true" ht="12.8" hidden="false" customHeight="false" outlineLevel="0" collapsed="false">
      <c r="A1369" s="1"/>
      <c r="H1369" s="3"/>
      <c r="J1369" s="3"/>
      <c r="L1369" s="3"/>
      <c r="N1369" s="3"/>
      <c r="P1369" s="3"/>
      <c r="AG1369" s="4"/>
    </row>
    <row r="1370" s="2" customFormat="true" ht="12.8" hidden="false" customHeight="false" outlineLevel="0" collapsed="false">
      <c r="A1370" s="1"/>
      <c r="H1370" s="3"/>
      <c r="J1370" s="3"/>
      <c r="L1370" s="3"/>
      <c r="N1370" s="3"/>
      <c r="P1370" s="3"/>
      <c r="AG1370" s="4"/>
    </row>
    <row r="1371" s="2" customFormat="true" ht="12.8" hidden="false" customHeight="false" outlineLevel="0" collapsed="false">
      <c r="A1371" s="1"/>
      <c r="H1371" s="3"/>
      <c r="J1371" s="3"/>
      <c r="L1371" s="3"/>
      <c r="N1371" s="3"/>
      <c r="P1371" s="3"/>
      <c r="AG1371" s="4"/>
    </row>
    <row r="1372" s="2" customFormat="true" ht="12.8" hidden="false" customHeight="false" outlineLevel="0" collapsed="false">
      <c r="A1372" s="1"/>
      <c r="H1372" s="3"/>
      <c r="J1372" s="3"/>
      <c r="L1372" s="3"/>
      <c r="N1372" s="3"/>
      <c r="P1372" s="3"/>
      <c r="AG1372" s="4"/>
    </row>
    <row r="1373" s="2" customFormat="true" ht="12.8" hidden="false" customHeight="false" outlineLevel="0" collapsed="false">
      <c r="A1373" s="1"/>
      <c r="H1373" s="3"/>
      <c r="J1373" s="3"/>
      <c r="L1373" s="3"/>
      <c r="N1373" s="3"/>
      <c r="P1373" s="3"/>
      <c r="AG1373" s="4"/>
    </row>
    <row r="1374" s="2" customFormat="true" ht="12.8" hidden="false" customHeight="false" outlineLevel="0" collapsed="false">
      <c r="A1374" s="1"/>
      <c r="H1374" s="3"/>
      <c r="J1374" s="3"/>
      <c r="L1374" s="3"/>
      <c r="N1374" s="3"/>
      <c r="P1374" s="3"/>
      <c r="AG1374" s="4"/>
    </row>
    <row r="1375" s="2" customFormat="true" ht="12.8" hidden="false" customHeight="false" outlineLevel="0" collapsed="false">
      <c r="A1375" s="1"/>
      <c r="H1375" s="3"/>
      <c r="J1375" s="3"/>
      <c r="L1375" s="3"/>
      <c r="N1375" s="3"/>
      <c r="P1375" s="3"/>
      <c r="AG1375" s="4"/>
    </row>
    <row r="1376" s="2" customFormat="true" ht="12.8" hidden="false" customHeight="false" outlineLevel="0" collapsed="false">
      <c r="A1376" s="1"/>
      <c r="H1376" s="3"/>
      <c r="J1376" s="3"/>
      <c r="L1376" s="3"/>
      <c r="N1376" s="3"/>
      <c r="P1376" s="3"/>
      <c r="AG1376" s="4"/>
    </row>
    <row r="1377" s="2" customFormat="true" ht="12.8" hidden="false" customHeight="false" outlineLevel="0" collapsed="false">
      <c r="A1377" s="1"/>
      <c r="H1377" s="3"/>
      <c r="J1377" s="3"/>
      <c r="L1377" s="3"/>
      <c r="N1377" s="3"/>
      <c r="P1377" s="3"/>
      <c r="AG1377" s="4"/>
    </row>
    <row r="1378" s="2" customFormat="true" ht="12.8" hidden="false" customHeight="false" outlineLevel="0" collapsed="false">
      <c r="A1378" s="1"/>
      <c r="H1378" s="3"/>
      <c r="J1378" s="3"/>
      <c r="L1378" s="3"/>
      <c r="N1378" s="3"/>
      <c r="P1378" s="3"/>
      <c r="AG1378" s="4"/>
    </row>
    <row r="1379" s="2" customFormat="true" ht="12.8" hidden="false" customHeight="false" outlineLevel="0" collapsed="false">
      <c r="A1379" s="1"/>
      <c r="H1379" s="3"/>
      <c r="J1379" s="3"/>
      <c r="L1379" s="3"/>
      <c r="N1379" s="3"/>
      <c r="P1379" s="3"/>
      <c r="AG1379" s="4"/>
    </row>
    <row r="1380" s="2" customFormat="true" ht="12.8" hidden="false" customHeight="false" outlineLevel="0" collapsed="false">
      <c r="A1380" s="1"/>
      <c r="H1380" s="3"/>
      <c r="J1380" s="3"/>
      <c r="L1380" s="3"/>
      <c r="N1380" s="3"/>
      <c r="P1380" s="3"/>
      <c r="AG1380" s="4"/>
    </row>
    <row r="1381" s="2" customFormat="true" ht="12.8" hidden="false" customHeight="false" outlineLevel="0" collapsed="false">
      <c r="A1381" s="1"/>
      <c r="H1381" s="3"/>
      <c r="J1381" s="3"/>
      <c r="L1381" s="3"/>
      <c r="N1381" s="3"/>
      <c r="P1381" s="3"/>
      <c r="AG1381" s="4"/>
    </row>
    <row r="1382" s="2" customFormat="true" ht="12.8" hidden="false" customHeight="false" outlineLevel="0" collapsed="false">
      <c r="A1382" s="1"/>
      <c r="H1382" s="3"/>
      <c r="J1382" s="3"/>
      <c r="L1382" s="3"/>
      <c r="N1382" s="3"/>
      <c r="P1382" s="3"/>
      <c r="AG1382" s="4"/>
    </row>
    <row r="1383" s="2" customFormat="true" ht="12.8" hidden="false" customHeight="false" outlineLevel="0" collapsed="false">
      <c r="A1383" s="1"/>
      <c r="H1383" s="3"/>
      <c r="J1383" s="3"/>
      <c r="L1383" s="3"/>
      <c r="N1383" s="3"/>
      <c r="P1383" s="3"/>
      <c r="AG1383" s="4"/>
    </row>
    <row r="1384" s="2" customFormat="true" ht="12.8" hidden="false" customHeight="false" outlineLevel="0" collapsed="false">
      <c r="A1384" s="1"/>
      <c r="H1384" s="3"/>
      <c r="J1384" s="3"/>
      <c r="L1384" s="3"/>
      <c r="N1384" s="3"/>
      <c r="P1384" s="3"/>
      <c r="AG1384" s="4"/>
    </row>
    <row r="1385" s="2" customFormat="true" ht="12.8" hidden="false" customHeight="false" outlineLevel="0" collapsed="false">
      <c r="A1385" s="1"/>
      <c r="H1385" s="3"/>
      <c r="J1385" s="3"/>
      <c r="L1385" s="3"/>
      <c r="N1385" s="3"/>
      <c r="P1385" s="3"/>
      <c r="AG1385" s="4"/>
    </row>
    <row r="1386" s="2" customFormat="true" ht="12.8" hidden="false" customHeight="false" outlineLevel="0" collapsed="false">
      <c r="A1386" s="1"/>
      <c r="H1386" s="3"/>
      <c r="J1386" s="3"/>
      <c r="L1386" s="3"/>
      <c r="N1386" s="3"/>
      <c r="P1386" s="3"/>
      <c r="AG1386" s="4"/>
    </row>
    <row r="1387" s="2" customFormat="true" ht="12.8" hidden="false" customHeight="false" outlineLevel="0" collapsed="false">
      <c r="A1387" s="1"/>
      <c r="H1387" s="3"/>
      <c r="J1387" s="3"/>
      <c r="L1387" s="3"/>
      <c r="N1387" s="3"/>
      <c r="P1387" s="3"/>
      <c r="AG1387" s="4"/>
    </row>
    <row r="1388" s="2" customFormat="true" ht="12.8" hidden="false" customHeight="false" outlineLevel="0" collapsed="false">
      <c r="A1388" s="1"/>
      <c r="H1388" s="3"/>
      <c r="J1388" s="3"/>
      <c r="L1388" s="3"/>
      <c r="N1388" s="3"/>
      <c r="P1388" s="3"/>
      <c r="AG1388" s="4"/>
    </row>
    <row r="1389" s="2" customFormat="true" ht="12.8" hidden="false" customHeight="false" outlineLevel="0" collapsed="false">
      <c r="A1389" s="1"/>
      <c r="H1389" s="3"/>
      <c r="J1389" s="3"/>
      <c r="L1389" s="3"/>
      <c r="N1389" s="3"/>
      <c r="P1389" s="3"/>
      <c r="AG1389" s="4"/>
    </row>
    <row r="1390" s="2" customFormat="true" ht="12.8" hidden="false" customHeight="false" outlineLevel="0" collapsed="false">
      <c r="A1390" s="1"/>
      <c r="H1390" s="3"/>
      <c r="J1390" s="3"/>
      <c r="L1390" s="3"/>
      <c r="N1390" s="3"/>
      <c r="P1390" s="3"/>
      <c r="AG1390" s="4"/>
    </row>
    <row r="1391" s="2" customFormat="true" ht="12.8" hidden="false" customHeight="false" outlineLevel="0" collapsed="false">
      <c r="A1391" s="1"/>
      <c r="H1391" s="3"/>
      <c r="J1391" s="3"/>
      <c r="L1391" s="3"/>
      <c r="N1391" s="3"/>
      <c r="P1391" s="3"/>
      <c r="AG1391" s="4"/>
    </row>
    <row r="1392" s="2" customFormat="true" ht="12.8" hidden="false" customHeight="false" outlineLevel="0" collapsed="false">
      <c r="A1392" s="1"/>
      <c r="H1392" s="3"/>
      <c r="J1392" s="3"/>
      <c r="L1392" s="3"/>
      <c r="N1392" s="3"/>
      <c r="P1392" s="3"/>
      <c r="AG1392" s="4"/>
    </row>
    <row r="1393" s="2" customFormat="true" ht="12.8" hidden="false" customHeight="false" outlineLevel="0" collapsed="false">
      <c r="A1393" s="1"/>
      <c r="H1393" s="3"/>
      <c r="J1393" s="3"/>
      <c r="L1393" s="3"/>
      <c r="N1393" s="3"/>
      <c r="P1393" s="3"/>
      <c r="AG1393" s="4"/>
    </row>
    <row r="1394" s="2" customFormat="true" ht="12.8" hidden="false" customHeight="false" outlineLevel="0" collapsed="false">
      <c r="A1394" s="1"/>
      <c r="H1394" s="3"/>
      <c r="J1394" s="3"/>
      <c r="L1394" s="3"/>
      <c r="N1394" s="3"/>
      <c r="P1394" s="3"/>
      <c r="AG1394" s="4"/>
    </row>
    <row r="1395" s="2" customFormat="true" ht="12.8" hidden="false" customHeight="false" outlineLevel="0" collapsed="false">
      <c r="A1395" s="1"/>
      <c r="H1395" s="3"/>
      <c r="J1395" s="3"/>
      <c r="L1395" s="3"/>
      <c r="N1395" s="3"/>
      <c r="P1395" s="3"/>
      <c r="AG1395" s="4"/>
    </row>
    <row r="1396" s="2" customFormat="true" ht="12.8" hidden="false" customHeight="false" outlineLevel="0" collapsed="false">
      <c r="A1396" s="1"/>
      <c r="H1396" s="3"/>
      <c r="J1396" s="3"/>
      <c r="L1396" s="3"/>
      <c r="N1396" s="3"/>
      <c r="P1396" s="3"/>
      <c r="AG1396" s="4"/>
    </row>
    <row r="1397" s="2" customFormat="true" ht="12.8" hidden="false" customHeight="false" outlineLevel="0" collapsed="false">
      <c r="A1397" s="1"/>
      <c r="H1397" s="3"/>
      <c r="J1397" s="3"/>
      <c r="L1397" s="3"/>
      <c r="N1397" s="3"/>
      <c r="P1397" s="3"/>
      <c r="AG1397" s="4"/>
    </row>
    <row r="1398" s="2" customFormat="true" ht="12.8" hidden="false" customHeight="false" outlineLevel="0" collapsed="false">
      <c r="A1398" s="1"/>
      <c r="H1398" s="3"/>
      <c r="J1398" s="3"/>
      <c r="L1398" s="3"/>
      <c r="N1398" s="3"/>
      <c r="P1398" s="3"/>
      <c r="AG1398" s="4"/>
    </row>
    <row r="1399" s="2" customFormat="true" ht="12.8" hidden="false" customHeight="false" outlineLevel="0" collapsed="false">
      <c r="A1399" s="1"/>
      <c r="H1399" s="3"/>
      <c r="J1399" s="3"/>
      <c r="L1399" s="3"/>
      <c r="N1399" s="3"/>
      <c r="P1399" s="3"/>
      <c r="AG1399" s="4"/>
    </row>
    <row r="1400" s="2" customFormat="true" ht="12.8" hidden="false" customHeight="false" outlineLevel="0" collapsed="false">
      <c r="A1400" s="1"/>
      <c r="H1400" s="3"/>
      <c r="J1400" s="3"/>
      <c r="L1400" s="3"/>
      <c r="N1400" s="3"/>
      <c r="P1400" s="3"/>
      <c r="AG1400" s="4"/>
    </row>
    <row r="1401" s="2" customFormat="true" ht="12.8" hidden="false" customHeight="false" outlineLevel="0" collapsed="false">
      <c r="A1401" s="1"/>
      <c r="H1401" s="3"/>
      <c r="J1401" s="3"/>
      <c r="L1401" s="3"/>
      <c r="N1401" s="3"/>
      <c r="P1401" s="3"/>
      <c r="AG1401" s="4"/>
    </row>
    <row r="1402" s="2" customFormat="true" ht="12.8" hidden="false" customHeight="false" outlineLevel="0" collapsed="false">
      <c r="A1402" s="1"/>
      <c r="H1402" s="3"/>
      <c r="J1402" s="3"/>
      <c r="L1402" s="3"/>
      <c r="N1402" s="3"/>
      <c r="P1402" s="3"/>
      <c r="AG1402" s="4"/>
    </row>
    <row r="1403" s="2" customFormat="true" ht="12.8" hidden="false" customHeight="false" outlineLevel="0" collapsed="false">
      <c r="A1403" s="1"/>
      <c r="H1403" s="3"/>
      <c r="J1403" s="3"/>
      <c r="L1403" s="3"/>
      <c r="N1403" s="3"/>
      <c r="P1403" s="3"/>
      <c r="AG1403" s="4"/>
    </row>
    <row r="1404" s="2" customFormat="true" ht="12.8" hidden="false" customHeight="false" outlineLevel="0" collapsed="false">
      <c r="A1404" s="1"/>
      <c r="H1404" s="3"/>
      <c r="J1404" s="3"/>
      <c r="L1404" s="3"/>
      <c r="N1404" s="3"/>
      <c r="P1404" s="3"/>
      <c r="AG1404" s="4"/>
    </row>
    <row r="1405" s="2" customFormat="true" ht="12.8" hidden="false" customHeight="false" outlineLevel="0" collapsed="false">
      <c r="A1405" s="1"/>
      <c r="H1405" s="3"/>
      <c r="J1405" s="3"/>
      <c r="L1405" s="3"/>
      <c r="N1405" s="3"/>
      <c r="P1405" s="3"/>
      <c r="AG1405" s="4"/>
    </row>
    <row r="1406" s="2" customFormat="true" ht="12.8" hidden="false" customHeight="false" outlineLevel="0" collapsed="false">
      <c r="A1406" s="1"/>
      <c r="H1406" s="3"/>
      <c r="J1406" s="3"/>
      <c r="L1406" s="3"/>
      <c r="N1406" s="3"/>
      <c r="P1406" s="3"/>
      <c r="AG1406" s="4"/>
    </row>
    <row r="1407" s="2" customFormat="true" ht="12.8" hidden="false" customHeight="false" outlineLevel="0" collapsed="false">
      <c r="A1407" s="1"/>
      <c r="H1407" s="3"/>
      <c r="J1407" s="3"/>
      <c r="L1407" s="3"/>
      <c r="N1407" s="3"/>
      <c r="P1407" s="3"/>
      <c r="AG1407" s="4"/>
    </row>
    <row r="1408" s="2" customFormat="true" ht="12.8" hidden="false" customHeight="false" outlineLevel="0" collapsed="false">
      <c r="A1408" s="1"/>
      <c r="H1408" s="3"/>
      <c r="J1408" s="3"/>
      <c r="L1408" s="3"/>
      <c r="N1408" s="3"/>
      <c r="P1408" s="3"/>
      <c r="AG1408" s="4"/>
    </row>
    <row r="1409" s="2" customFormat="true" ht="12.8" hidden="false" customHeight="false" outlineLevel="0" collapsed="false">
      <c r="A1409" s="1"/>
      <c r="H1409" s="3"/>
      <c r="J1409" s="3"/>
      <c r="L1409" s="3"/>
      <c r="N1409" s="3"/>
      <c r="P1409" s="3"/>
      <c r="AG1409" s="4"/>
    </row>
    <row r="1410" s="2" customFormat="true" ht="12.8" hidden="false" customHeight="false" outlineLevel="0" collapsed="false">
      <c r="A1410" s="1"/>
      <c r="H1410" s="3"/>
      <c r="J1410" s="3"/>
      <c r="L1410" s="3"/>
      <c r="N1410" s="3"/>
      <c r="P1410" s="3"/>
      <c r="AG1410" s="4"/>
    </row>
    <row r="1411" s="2" customFormat="true" ht="12.8" hidden="false" customHeight="false" outlineLevel="0" collapsed="false">
      <c r="A1411" s="1"/>
      <c r="H1411" s="3"/>
      <c r="J1411" s="3"/>
      <c r="L1411" s="3"/>
      <c r="N1411" s="3"/>
      <c r="P1411" s="3"/>
      <c r="AG1411" s="4"/>
    </row>
    <row r="1412" customFormat="false" ht="12.8" hidden="false" customHeight="false" outlineLevel="0" collapsed="false">
      <c r="AB1412" s="2"/>
      <c r="AC1412" s="2"/>
      <c r="AD1412" s="2"/>
      <c r="AE1412" s="2"/>
      <c r="AF1412" s="2"/>
    </row>
    <row r="1413" customFormat="false" ht="12.8" hidden="false" customHeight="false" outlineLevel="0" collapsed="false">
      <c r="AB1413" s="2"/>
      <c r="AC1413" s="2"/>
      <c r="AD1413" s="2"/>
      <c r="AE1413" s="2"/>
      <c r="AF1413" s="2"/>
    </row>
    <row r="1414" customFormat="false" ht="12.8" hidden="false" customHeight="false" outlineLevel="0" collapsed="false">
      <c r="AB1414" s="2"/>
      <c r="AC1414" s="2"/>
      <c r="AD1414" s="2"/>
      <c r="AE1414" s="2"/>
      <c r="AF1414" s="2"/>
    </row>
    <row r="1415" customFormat="false" ht="12.8" hidden="false" customHeight="false" outlineLevel="0" collapsed="false">
      <c r="AB1415" s="2"/>
      <c r="AC1415" s="2"/>
      <c r="AD1415" s="2"/>
      <c r="AE1415" s="2"/>
      <c r="AF1415" s="2"/>
    </row>
    <row r="1416" customFormat="false" ht="12.8" hidden="false" customHeight="false" outlineLevel="0" collapsed="false">
      <c r="AB1416" s="2"/>
      <c r="AC1416" s="2"/>
      <c r="AD1416" s="2"/>
      <c r="AE1416" s="2"/>
      <c r="AF1416" s="2"/>
    </row>
    <row r="1417" customFormat="false" ht="12.8" hidden="false" customHeight="false" outlineLevel="0" collapsed="false">
      <c r="AB1417" s="2"/>
      <c r="AC1417" s="2"/>
      <c r="AD1417" s="2"/>
      <c r="AE1417" s="2"/>
      <c r="AF1417" s="2"/>
    </row>
    <row r="1418" customFormat="false" ht="12.8" hidden="false" customHeight="false" outlineLevel="0" collapsed="false">
      <c r="AB1418" s="2"/>
      <c r="AC1418" s="2"/>
      <c r="AD1418" s="2"/>
      <c r="AE1418" s="2"/>
      <c r="AF1418" s="2"/>
    </row>
    <row r="1419" customFormat="false" ht="12.8" hidden="false" customHeight="false" outlineLevel="0" collapsed="false">
      <c r="AB1419" s="2"/>
      <c r="AC1419" s="2"/>
      <c r="AD1419" s="2"/>
      <c r="AE1419" s="2"/>
      <c r="AF1419" s="2"/>
    </row>
    <row r="1420" customFormat="false" ht="12.8" hidden="false" customHeight="false" outlineLevel="0" collapsed="false">
      <c r="AB1420" s="2"/>
      <c r="AC1420" s="2"/>
      <c r="AD1420" s="2"/>
      <c r="AE1420" s="2"/>
      <c r="AF1420" s="2"/>
    </row>
    <row r="1421" customFormat="false" ht="12.8" hidden="false" customHeight="false" outlineLevel="0" collapsed="false">
      <c r="AB1421" s="2"/>
      <c r="AC1421" s="2"/>
      <c r="AD1421" s="2"/>
      <c r="AE1421" s="2"/>
      <c r="AF1421" s="2"/>
    </row>
    <row r="1422" customFormat="false" ht="12.8" hidden="false" customHeight="false" outlineLevel="0" collapsed="false">
      <c r="AB1422" s="2"/>
      <c r="AC1422" s="2"/>
      <c r="AD1422" s="2"/>
      <c r="AE1422" s="2"/>
      <c r="AF1422" s="2"/>
    </row>
    <row r="1423" customFormat="false" ht="12.8" hidden="false" customHeight="false" outlineLevel="0" collapsed="false">
      <c r="AB1423" s="2"/>
      <c r="AC1423" s="2"/>
      <c r="AD1423" s="2"/>
      <c r="AE1423" s="2"/>
      <c r="AF1423" s="2"/>
    </row>
    <row r="1424" customFormat="false" ht="12.8" hidden="false" customHeight="false" outlineLevel="0" collapsed="false">
      <c r="AB1424" s="2"/>
      <c r="AC1424" s="2"/>
      <c r="AD1424" s="2"/>
      <c r="AE1424" s="2"/>
      <c r="AF1424" s="2"/>
    </row>
    <row r="1425" customFormat="false" ht="12.8" hidden="false" customHeight="false" outlineLevel="0" collapsed="false">
      <c r="AB1425" s="2"/>
      <c r="AC1425" s="2"/>
      <c r="AD1425" s="2"/>
      <c r="AE1425" s="2"/>
      <c r="AF1425" s="2"/>
    </row>
    <row r="1426" customFormat="false" ht="12.8" hidden="false" customHeight="false" outlineLevel="0" collapsed="false">
      <c r="AB1426" s="2"/>
      <c r="AC1426" s="2"/>
      <c r="AD1426" s="2"/>
      <c r="AE1426" s="2"/>
      <c r="AF1426" s="2"/>
    </row>
    <row r="1427" customFormat="false" ht="12.8" hidden="false" customHeight="false" outlineLevel="0" collapsed="false">
      <c r="AB1427" s="2"/>
      <c r="AC1427" s="2"/>
      <c r="AD1427" s="2"/>
      <c r="AE1427" s="2"/>
      <c r="AF1427" s="2"/>
    </row>
    <row r="1428" customFormat="false" ht="12.8" hidden="false" customHeight="false" outlineLevel="0" collapsed="false">
      <c r="AB1428" s="2"/>
      <c r="AC1428" s="2"/>
      <c r="AD1428" s="2"/>
      <c r="AE1428" s="2"/>
      <c r="AF1428" s="2"/>
    </row>
    <row r="1429" customFormat="false" ht="12.8" hidden="false" customHeight="false" outlineLevel="0" collapsed="false">
      <c r="AB1429" s="2"/>
      <c r="AC1429" s="2"/>
      <c r="AD1429" s="2"/>
      <c r="AE1429" s="2"/>
      <c r="AF1429" s="2"/>
    </row>
    <row r="1430" customFormat="false" ht="12.8" hidden="false" customHeight="false" outlineLevel="0" collapsed="false">
      <c r="AB1430" s="2"/>
      <c r="AC1430" s="2"/>
    </row>
    <row r="1431" customFormat="false" ht="12.8" hidden="false" customHeight="false" outlineLevel="0" collapsed="false">
      <c r="AB1431" s="2"/>
      <c r="AC1431" s="2"/>
    </row>
  </sheetData>
  <autoFilter ref="A12:Y420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1708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2026-06-12T16:08:51Z</dcterms:modified>
  <cp:revision>70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