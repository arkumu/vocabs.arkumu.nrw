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definedNames>
    <definedName function="false" hidden="true" localSheetId="0" name="_xlnm._FilterDatabase" vbProcedure="false">Tabelle1!$B$15:$Q$308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<sst xmlns="http://schemas.openxmlformats.org/spreadsheetml/2006/main" count="2185" uniqueCount="1975">
  <si>
    <t xml:space="preserve">ConceptScheme URI</t>
  </si>
  <si>
    <t xml:space="preserve">http://w3id.org/arkumu/project-categories</t>
  </si>
  <si>
    <r>
      <rPr>
        <sz val="10"/>
        <rFont val="Ubuntu Sans"/>
        <family val="2"/>
        <charset val="1"/>
      </rPr>
      <t xml:space="preserve">grüner Hintergrund: lässt sich </t>
    </r>
    <r>
      <rPr>
        <sz val="10"/>
        <color theme="1"/>
        <rFont val="Ubuntu Sans"/>
        <family val="2"/>
      </rPr>
      <t xml:space="preserve"> mit https://xls2rdf.sparna.fr/web/convert </t>
    </r>
    <r>
      <rPr>
        <sz val="10"/>
        <rFont val="Ubuntu Sans"/>
        <family val="2"/>
        <charset val="1"/>
      </rPr>
      <t xml:space="preserve">nach rdf/skos konvertieren</t>
    </r>
  </si>
  <si>
    <t xml:space="preserve">dct:title@en</t>
  </si>
  <si>
    <t xml:space="preserve">Project Categories</t>
  </si>
  <si>
    <t xml:space="preserve">grau: wird nicht mit in SKOS konvertiert</t>
  </si>
  <si>
    <t xml:space="preserve">fraglich ob noch online</t>
  </si>
  <si>
    <r>
      <rPr>
        <sz val="10"/>
        <rFont val="Ubuntu Sans"/>
        <family val="2"/>
        <charset val="1"/>
      </rPr>
      <t xml:space="preserve">(Angabe aus </t>
    </r>
    <r>
      <rPr>
        <sz val="10"/>
        <rFont val="Ubuntu Sans"/>
        <family val="2"/>
      </rPr>
      <t xml:space="preserve">ursprünglichem Entwurf des Vokabulars, wichtig für </t>
    </r>
    <r>
      <rPr>
        <sz val="10"/>
        <rFont val="Ubuntu Sans"/>
        <family val="2"/>
        <charset val="1"/>
      </rPr>
      <t xml:space="preserve">Erfassungsmaske und Web-Portal. Wie kann dieser String automatisch generiert werden?)</t>
    </r>
  </si>
  <si>
    <t xml:space="preserve">dct:title@de</t>
  </si>
  <si>
    <t xml:space="preserve">Projektkategorien</t>
  </si>
  <si>
    <t xml:space="preserve">rot: noch zu klären</t>
  </si>
  <si>
    <t xml:space="preserve">PREFIX</t>
  </si>
  <si>
    <t xml:space="preserve">project-category</t>
  </si>
  <si>
    <t xml:space="preserve">BASE</t>
  </si>
  <si>
    <t xml:space="preserve">dct:description@de</t>
  </si>
  <si>
    <t xml:space="preserve">Projektkategorien typisieren ein Projekt. Die Kategorien bezeichnen in der ersten Ordnung die Gattungen der Kunst, die (materielle, digitale, immaterielle, konzeptuelle) Projekte/Werke/Kunstobjekte beschreiben. Ab der zweiten Ordnung ist der Übergang zu Genres nicht scharf trennbar.</t>
  </si>
  <si>
    <t xml:space="preserve">dct:description@en</t>
  </si>
  <si>
    <t xml:space="preserve">Project categories classify a project. At the first level, the categories denote the disciplines of art that describe (physical, digital, immaterial, conceptual) projects, works, and art objects. From the second level onward, the distinction to genres is not clearly defined.</t>
  </si>
  <si>
    <t xml:space="preserve">dct:created^^xsd:date </t>
  </si>
  <si>
    <t xml:space="preserve">skos:editorialNote@de</t>
  </si>
  <si>
    <t xml:space="preserve">URI noch zu klären</t>
  </si>
  <si>
    <t xml:space="preserve"> dct:license</t>
  </si>
  <si>
    <t xml:space="preserve">https://creativecommons.org/publicdomain/zero/1.0/</t>
  </si>
  <si>
    <t xml:space="preserve">URI</t>
  </si>
  <si>
    <t xml:space="preserve">ID</t>
  </si>
  <si>
    <t xml:space="preserve">Parent Project Category</t>
  </si>
  <si>
    <t xml:space="preserve">English Name</t>
  </si>
  <si>
    <t xml:space="preserve">English Synonyms</t>
  </si>
  <si>
    <t xml:space="preserve">German Name</t>
  </si>
  <si>
    <t xml:space="preserve">German Synonyms</t>
  </si>
  <si>
    <t xml:space="preserve">Wikidata ID</t>
  </si>
  <si>
    <t xml:space="preserve">Wikidata URI</t>
  </si>
  <si>
    <t xml:space="preserve">GND ID</t>
  </si>
  <si>
    <r>
      <rPr>
        <b val="true"/>
        <sz val="10"/>
        <rFont val="Arial"/>
        <family val="2"/>
        <charset val="1"/>
      </rPr>
      <t xml:space="preserve">GND ID</t>
    </r>
    <r>
      <rPr>
        <b val="true"/>
        <sz val="10"/>
        <rFont val="Calibri"/>
        <family val="2"/>
        <charset val="1"/>
      </rPr>
      <t xml:space="preserve"> URI</t>
    </r>
  </si>
  <si>
    <t xml:space="preserve">AAT ID</t>
  </si>
  <si>
    <t xml:space="preserve">AAT URI</t>
  </si>
  <si>
    <t xml:space="preserve">filmportal.de Category ID </t>
  </si>
  <si>
    <t xml:space="preserve">Filmportal.de URI</t>
  </si>
  <si>
    <t xml:space="preserve">German Breadcrumb</t>
  </si>
  <si>
    <t xml:space="preserve">English Breadcrumb</t>
  </si>
  <si>
    <t xml:space="preserve">skos:notation</t>
  </si>
  <si>
    <t xml:space="preserve">skos:broader(lookupColumn="skos:notation")</t>
  </si>
  <si>
    <t xml:space="preserve">skos:prefLabel@en</t>
  </si>
  <si>
    <t xml:space="preserve">skos:altLabel@en(separator=",")</t>
  </si>
  <si>
    <t xml:space="preserve">skos:prefLabel@de</t>
  </si>
  <si>
    <t xml:space="preserve">skos:altLabel@de(separator=",")</t>
  </si>
  <si>
    <t xml:space="preserve">-</t>
  </si>
  <si>
    <t xml:space="preserve">skos:exactMatch</t>
  </si>
  <si>
    <t xml:space="preserve">http://w3id.org/arkumu/project-categories#project-category-1</t>
  </si>
  <si>
    <t xml:space="preserve">Academic Publication</t>
  </si>
  <si>
    <t xml:space="preserve">Scientific Publication,Research Publication</t>
  </si>
  <si>
    <t xml:space="preserve">Akademische Publikation</t>
  </si>
  <si>
    <t xml:space="preserve">Wissenschaftliche Publikation</t>
  </si>
  <si>
    <t xml:space="preserve">Q591041</t>
  </si>
  <si>
    <t xml:space="preserve">4066586-0</t>
  </si>
  <si>
    <t xml:space="preserve">http://w3id.org/arkumu/project-categories#project-category-2</t>
  </si>
  <si>
    <t xml:space="preserve">Doctoral Thesis</t>
  </si>
  <si>
    <t xml:space="preserve">Dissertation,PhD Thesis,Thesis</t>
  </si>
  <si>
    <t xml:space="preserve">Dissertation</t>
  </si>
  <si>
    <t xml:space="preserve">Thesis</t>
  </si>
  <si>
    <t xml:space="preserve">Q187685</t>
  </si>
  <si>
    <t xml:space="preserve">4012494-0</t>
  </si>
  <si>
    <t xml:space="preserve">Akademische Publikation &gt; Dissertation</t>
  </si>
  <si>
    <t xml:space="preserve">Academic Publication &gt; Doctoral Thesis</t>
  </si>
  <si>
    <t xml:space="preserve">http://w3id.org/arkumu/project-categories#project-category-3</t>
  </si>
  <si>
    <t xml:space="preserve">Podcast</t>
  </si>
  <si>
    <t xml:space="preserve">Q20899</t>
  </si>
  <si>
    <t xml:space="preserve">7527248-9</t>
  </si>
  <si>
    <t xml:space="preserve">Akademische Publikation &gt; Podcast</t>
  </si>
  <si>
    <t xml:space="preserve">Academic Publication &gt; Podcast</t>
  </si>
  <si>
    <t xml:space="preserve">http://w3id.org/arkumu/project-categories#project-category-4</t>
  </si>
  <si>
    <t xml:space="preserve">Website</t>
  </si>
  <si>
    <t xml:space="preserve">Webseite</t>
  </si>
  <si>
    <t xml:space="preserve">Q35127</t>
  </si>
  <si>
    <t xml:space="preserve">4596172-4</t>
  </si>
  <si>
    <t xml:space="preserve">Akademische Publikation &gt; Webseite</t>
  </si>
  <si>
    <t xml:space="preserve">Academic Publication &gt; Website</t>
  </si>
  <si>
    <t xml:space="preserve">http://w3id.org/arkumu/project-categories#project-category-5</t>
  </si>
  <si>
    <t xml:space="preserve">Applied Arts</t>
  </si>
  <si>
    <t xml:space="preserve">Angewandte Kunst</t>
  </si>
  <si>
    <t xml:space="preserve">Gestaltung,Kunstgewerbe</t>
  </si>
  <si>
    <t xml:space="preserve">Q207241</t>
  </si>
  <si>
    <t xml:space="preserve">7593577-6</t>
  </si>
  <si>
    <t xml:space="preserve">http://w3id.org/arkumu/project-categories#project-category-6</t>
  </si>
  <si>
    <t xml:space="preserve">Architecture</t>
  </si>
  <si>
    <t xml:space="preserve">Architektur</t>
  </si>
  <si>
    <t xml:space="preserve">Q12271</t>
  </si>
  <si>
    <t xml:space="preserve">4002851-3</t>
  </si>
  <si>
    <t xml:space="preserve">Angewandte Kunst &gt; Architektur</t>
  </si>
  <si>
    <t xml:space="preserve">Applied Arts &gt; Architecture</t>
  </si>
  <si>
    <t xml:space="preserve">http://w3id.org/arkumu/project-categories#project-category-7</t>
  </si>
  <si>
    <t xml:space="preserve">Design</t>
  </si>
  <si>
    <t xml:space="preserve">Q82604</t>
  </si>
  <si>
    <t xml:space="preserve">4011510-0</t>
  </si>
  <si>
    <t xml:space="preserve">Angewandte Kunst &gt; Design</t>
  </si>
  <si>
    <t xml:space="preserve">Applied Arts &gt; Design</t>
  </si>
  <si>
    <t xml:space="preserve">http://w3id.org/arkumu/project-categories#project-category-8</t>
  </si>
  <si>
    <t xml:space="preserve">Game Design</t>
  </si>
  <si>
    <t xml:space="preserve">Gamedesign</t>
  </si>
  <si>
    <t xml:space="preserve">Q858057</t>
  </si>
  <si>
    <t xml:space="preserve">Angewandte Kunst &gt; Design &gt; Game Design</t>
  </si>
  <si>
    <t xml:space="preserve">Applied Arts &gt; Design &gt; Game Design</t>
  </si>
  <si>
    <t xml:space="preserve">http://w3id.org/arkumu/project-categories#project-category-9</t>
  </si>
  <si>
    <t xml:space="preserve">Industrial Design</t>
  </si>
  <si>
    <t xml:space="preserve">Product Design</t>
  </si>
  <si>
    <t xml:space="preserve">Produktdesign</t>
  </si>
  <si>
    <t xml:space="preserve">Q243606</t>
  </si>
  <si>
    <t xml:space="preserve">4072788-9</t>
  </si>
  <si>
    <t xml:space="preserve">Angewandte Kunst &gt; Design &gt; Industrial Design</t>
  </si>
  <si>
    <t xml:space="preserve">Applied Arts &gt; Design &gt; Industrial Design</t>
  </si>
  <si>
    <t xml:space="preserve">http://w3id.org/arkumu/project-categories#project-category-10</t>
  </si>
  <si>
    <t xml:space="preserve">Interior Design</t>
  </si>
  <si>
    <t xml:space="preserve">Innenarchitektur</t>
  </si>
  <si>
    <t xml:space="preserve">Mediale Raumgestaltung,Raumgestaltung</t>
  </si>
  <si>
    <t xml:space="preserve">Q179232</t>
  </si>
  <si>
    <t xml:space="preserve">4072819-5</t>
  </si>
  <si>
    <t xml:space="preserve">Angewandte Kunst &gt; Design &gt; Innenarchitektur</t>
  </si>
  <si>
    <t xml:space="preserve">Applied Arts &gt; Design &gt; Interior Design</t>
  </si>
  <si>
    <t xml:space="preserve">http://w3id.org/arkumu/project-categories#project-category-11</t>
  </si>
  <si>
    <t xml:space="preserve">Graphic Design</t>
  </si>
  <si>
    <t xml:space="preserve">Communication Design</t>
  </si>
  <si>
    <t xml:space="preserve">Kommunikationsdesign</t>
  </si>
  <si>
    <t xml:space="preserve">Grafikdesign</t>
  </si>
  <si>
    <t xml:space="preserve">Q185925</t>
  </si>
  <si>
    <t xml:space="preserve">4304892-4</t>
  </si>
  <si>
    <t xml:space="preserve">Angewandte Kunst &gt; Design &gt; Kommunikationsdesign</t>
  </si>
  <si>
    <t xml:space="preserve">Applied Arts &gt; Design &gt; Graphic Design</t>
  </si>
  <si>
    <t xml:space="preserve">http://w3id.org/arkumu/project-categories#project-category-12</t>
  </si>
  <si>
    <t xml:space="preserve">Media Design</t>
  </si>
  <si>
    <t xml:space="preserve">Mediengestaltung</t>
  </si>
  <si>
    <t xml:space="preserve">Mediendesign</t>
  </si>
  <si>
    <t xml:space="preserve">Q1916365</t>
  </si>
  <si>
    <t xml:space="preserve">4823394-8</t>
  </si>
  <si>
    <t xml:space="preserve">Angewandte Kunst &gt; Design &gt; Mediengestaltung</t>
  </si>
  <si>
    <t xml:space="preserve">Applied Arts &gt; Design &gt; Media Design</t>
  </si>
  <si>
    <t xml:space="preserve">http://w3id.org/arkumu/project-categories#project-category-13</t>
  </si>
  <si>
    <t xml:space="preserve">Fashion Design</t>
  </si>
  <si>
    <t xml:space="preserve">Modedesign</t>
  </si>
  <si>
    <t xml:space="preserve">Q29583</t>
  </si>
  <si>
    <t xml:space="preserve">7510814-8</t>
  </si>
  <si>
    <t xml:space="preserve">Angewandte Kunst &gt; Design &gt; Modedesign</t>
  </si>
  <si>
    <t xml:space="preserve">Applied Arts &gt; Design &gt; Fashion Design</t>
  </si>
  <si>
    <t xml:space="preserve">http://w3id.org/arkumu/project-categories#project-category-14</t>
  </si>
  <si>
    <t xml:space="preserve">Sound Design</t>
  </si>
  <si>
    <t xml:space="preserve">Sound-Design</t>
  </si>
  <si>
    <t xml:space="preserve">Tongestaltung</t>
  </si>
  <si>
    <t xml:space="preserve">Q1937950</t>
  </si>
  <si>
    <t xml:space="preserve">7693207-2</t>
  </si>
  <si>
    <t xml:space="preserve">Angewandte Kunst &gt; Design &gt; Sound-Design</t>
  </si>
  <si>
    <t xml:space="preserve">Applied Arts &gt; Design &gt; Sound Design</t>
  </si>
  <si>
    <t xml:space="preserve">http://w3id.org/arkumu/project-categories#project-category-15</t>
  </si>
  <si>
    <t xml:space="preserve">Textile Design</t>
  </si>
  <si>
    <t xml:space="preserve">Textildesign</t>
  </si>
  <si>
    <t xml:space="preserve">Q763631</t>
  </si>
  <si>
    <t xml:space="preserve">7506104-1</t>
  </si>
  <si>
    <t xml:space="preserve">Angewandte Kunst &gt; Design &gt; Textildesign</t>
  </si>
  <si>
    <t xml:space="preserve">Applied Arts &gt; Design &gt; Textile Design</t>
  </si>
  <si>
    <t xml:space="preserve">http://w3id.org/arkumu/project-categories#project-category-16</t>
  </si>
  <si>
    <t xml:space="preserve">Transformation Design</t>
  </si>
  <si>
    <t xml:space="preserve">Q7834086</t>
  </si>
  <si>
    <t xml:space="preserve">Angewandte Kunst &gt; Design &gt; Transformation Design</t>
  </si>
  <si>
    <t xml:space="preserve">Applied Arts &gt; Design &gt; Transformation Design</t>
  </si>
  <si>
    <t xml:space="preserve">http://w3id.org/arkumu/project-categories#project-category-17</t>
  </si>
  <si>
    <t xml:space="preserve">User Interface Design</t>
  </si>
  <si>
    <t xml:space="preserve">UI Design</t>
  </si>
  <si>
    <t xml:space="preserve">UI-Design</t>
  </si>
  <si>
    <t xml:space="preserve">Q135707</t>
  </si>
  <si>
    <t xml:space="preserve">Angewandte Kunst &gt; Design &gt; User Interface Design</t>
  </si>
  <si>
    <t xml:space="preserve">Applied Arts &gt; Design &gt; User Interface Design</t>
  </si>
  <si>
    <t xml:space="preserve">http://w3id.org/arkumu/project-categories#project-category-18</t>
  </si>
  <si>
    <t xml:space="preserve">Photography</t>
  </si>
  <si>
    <t xml:space="preserve">Fotografie</t>
  </si>
  <si>
    <t xml:space="preserve">Q11633</t>
  </si>
  <si>
    <t xml:space="preserve">4045895-7</t>
  </si>
  <si>
    <t xml:space="preserve">Angewandte Kunst &gt; Fotografie</t>
  </si>
  <si>
    <t xml:space="preserve">Applied Arts &gt; Photography</t>
  </si>
  <si>
    <t xml:space="preserve">http://w3id.org/arkumu/project-categories#project-category-19</t>
  </si>
  <si>
    <t xml:space="preserve">Architectural Photography</t>
  </si>
  <si>
    <t xml:space="preserve">Architekturfotografie</t>
  </si>
  <si>
    <t xml:space="preserve">Q635309</t>
  </si>
  <si>
    <t xml:space="preserve">4002855-0</t>
  </si>
  <si>
    <t xml:space="preserve">Angewandte Kunst &gt; Fotografie &gt; Architekturfotografie</t>
  </si>
  <si>
    <t xml:space="preserve">Applied Arts &gt; Photography &gt; Architectural Photography</t>
  </si>
  <si>
    <t xml:space="preserve">http://w3id.org/arkumu/project-categories#project-category-20</t>
  </si>
  <si>
    <t xml:space="preserve">Documentary Photography</t>
  </si>
  <si>
    <t xml:space="preserve">Dokumentarfotografie</t>
  </si>
  <si>
    <t xml:space="preserve">Q615498</t>
  </si>
  <si>
    <t xml:space="preserve">4142019-6</t>
  </si>
  <si>
    <t xml:space="preserve">Angewandte Kunst &gt; Fotografie &gt; Dokumentarfotografie</t>
  </si>
  <si>
    <t xml:space="preserve">Applied Arts &gt; Photography &gt; Documentary Photography</t>
  </si>
  <si>
    <t xml:space="preserve">http://w3id.org/arkumu/project-categories#project-category-21</t>
  </si>
  <si>
    <t xml:space="preserve">Photogrammetry</t>
  </si>
  <si>
    <t xml:space="preserve">Fotogrammetrie</t>
  </si>
  <si>
    <t xml:space="preserve">Q190149</t>
  </si>
  <si>
    <t xml:space="preserve">4045892-1</t>
  </si>
  <si>
    <t xml:space="preserve">Angewandte Kunst &gt; Fotografie &gt; Fotogrammetrie</t>
  </si>
  <si>
    <t xml:space="preserve">Applied Arts &gt; Photography &gt; Photogrammetry</t>
  </si>
  <si>
    <t xml:space="preserve">http://w3id.org/arkumu/project-categories#project-category-22</t>
  </si>
  <si>
    <t xml:space="preserve">Photojournalism</t>
  </si>
  <si>
    <t xml:space="preserve">Fotojournalismus</t>
  </si>
  <si>
    <t xml:space="preserve">Bildjournalismus,Bildpublizistik,Bildberichterstattung</t>
  </si>
  <si>
    <t xml:space="preserve">Q506858</t>
  </si>
  <si>
    <t xml:space="preserve">4212482-7</t>
  </si>
  <si>
    <t xml:space="preserve">Angewandte Kunst &gt; Fotografie &gt; Fotojournalismus</t>
  </si>
  <si>
    <t xml:space="preserve">Applied Arts &gt; Photography &gt; Photojournalism</t>
  </si>
  <si>
    <t xml:space="preserve">http://w3id.org/arkumu/project-categories#project-category-23</t>
  </si>
  <si>
    <t xml:space="preserve">Staged Photography</t>
  </si>
  <si>
    <t xml:space="preserve">Inszenierte Fotografie</t>
  </si>
  <si>
    <t xml:space="preserve">Q1665341</t>
  </si>
  <si>
    <t xml:space="preserve">4371232-0</t>
  </si>
  <si>
    <t xml:space="preserve">Angewandte Kunst &gt; Fotografie &gt; Inszenierte Fotografie</t>
  </si>
  <si>
    <t xml:space="preserve">Applied Arts &gt; Photography &gt; Staged Photography</t>
  </si>
  <si>
    <t xml:space="preserve">http://w3id.org/arkumu/project-categories#project-category-24</t>
  </si>
  <si>
    <t xml:space="preserve">Landscape Photography</t>
  </si>
  <si>
    <t xml:space="preserve">Landschaftsfotografie</t>
  </si>
  <si>
    <t xml:space="preserve">Q1353984</t>
  </si>
  <si>
    <t xml:space="preserve">4132170-4</t>
  </si>
  <si>
    <t xml:space="preserve">Angewandte Kunst &gt; Fotografie &gt; Landschaftsfotografie</t>
  </si>
  <si>
    <t xml:space="preserve">Applied Arts &gt; Photography &gt; Landscape Photography</t>
  </si>
  <si>
    <t xml:space="preserve">http://w3id.org/arkumu/project-categories#project-category-25</t>
  </si>
  <si>
    <t xml:space="preserve">Fashion Photography</t>
  </si>
  <si>
    <t xml:space="preserve">Modefotografie</t>
  </si>
  <si>
    <t xml:space="preserve">Q1146354</t>
  </si>
  <si>
    <t xml:space="preserve">4137739-4</t>
  </si>
  <si>
    <t xml:space="preserve">Angewandte Kunst &gt; Fotografie &gt; Modefotografie</t>
  </si>
  <si>
    <t xml:space="preserve">Applied Arts &gt; Photography &gt; Fashion Photography</t>
  </si>
  <si>
    <t xml:space="preserve">http://w3id.org/arkumu/project-categories#project-category-26</t>
  </si>
  <si>
    <t xml:space="preserve">Portrait Photography</t>
  </si>
  <si>
    <t xml:space="preserve">Porträtfotografie</t>
  </si>
  <si>
    <t xml:space="preserve">Q182956</t>
  </si>
  <si>
    <t xml:space="preserve">4046840-9</t>
  </si>
  <si>
    <t xml:space="preserve">Angewandte Kunst &gt; Fotografie &gt; Porträtfotografie</t>
  </si>
  <si>
    <t xml:space="preserve">Applied Arts &gt; Photography &gt; Portrait Photography</t>
  </si>
  <si>
    <t xml:space="preserve">http://w3id.org/arkumu/project-categories#project-category-27</t>
  </si>
  <si>
    <t xml:space="preserve">Product Photography</t>
  </si>
  <si>
    <t xml:space="preserve">Produktfotografie</t>
  </si>
  <si>
    <t xml:space="preserve">Sachfotografie</t>
  </si>
  <si>
    <t xml:space="preserve">Q2111747</t>
  </si>
  <si>
    <t xml:space="preserve">4406085-3</t>
  </si>
  <si>
    <t xml:space="preserve">Angewandte Kunst &gt; Fotografie &gt; Produktfotografie</t>
  </si>
  <si>
    <t xml:space="preserve">Applied Arts &gt; Photography &gt; Product Photography</t>
  </si>
  <si>
    <t xml:space="preserve">http://w3id.org/arkumu/project-categories#project-category-28</t>
  </si>
  <si>
    <t xml:space="preserve">Theatrical Photography</t>
  </si>
  <si>
    <t xml:space="preserve">Theaterfotografie</t>
  </si>
  <si>
    <t xml:space="preserve">Q612277</t>
  </si>
  <si>
    <t xml:space="preserve">4199272-6</t>
  </si>
  <si>
    <t xml:space="preserve">Angewandte Kunst &gt; Fotografie &gt; Theaterfotografie</t>
  </si>
  <si>
    <t xml:space="preserve">Applied Arts &gt; Photography &gt; Theatrical Photography</t>
  </si>
  <si>
    <t xml:space="preserve">http://w3id.org/arkumu/project-categories#project-category-29</t>
  </si>
  <si>
    <t xml:space="preserve">Advertising Photography</t>
  </si>
  <si>
    <t xml:space="preserve">Werbefotografie</t>
  </si>
  <si>
    <t xml:space="preserve">Q1657850</t>
  </si>
  <si>
    <t xml:space="preserve">4317809-1</t>
  </si>
  <si>
    <t xml:space="preserve">Angewandte Kunst &gt; Fotografie &gt; Werbefotografie</t>
  </si>
  <si>
    <t xml:space="preserve">Applied Arts &gt; Photography &gt; Advertising Photography</t>
  </si>
  <si>
    <t xml:space="preserve">http://w3id.org/arkumu/project-categories#project-category-30</t>
  </si>
  <si>
    <t xml:space="preserve">Ceramic</t>
  </si>
  <si>
    <t xml:space="preserve">Pottery</t>
  </si>
  <si>
    <t xml:space="preserve">Keramik</t>
  </si>
  <si>
    <t xml:space="preserve">Q45621</t>
  </si>
  <si>
    <t xml:space="preserve">4030270-2</t>
  </si>
  <si>
    <t xml:space="preserve">Angewandte Kunst &gt; Keramik</t>
  </si>
  <si>
    <t xml:space="preserve">Applied Arts &gt; Ceramic</t>
  </si>
  <si>
    <t xml:space="preserve">http://w3id.org/arkumu/project-categories#project-category-31</t>
  </si>
  <si>
    <t xml:space="preserve">Performing Arts</t>
  </si>
  <si>
    <t xml:space="preserve">Live Arts</t>
  </si>
  <si>
    <t xml:space="preserve">Darstellende Kunst</t>
  </si>
  <si>
    <t xml:space="preserve">Q184485</t>
  </si>
  <si>
    <t xml:space="preserve">4129566-3</t>
  </si>
  <si>
    <t xml:space="preserve">http://w3id.org/arkumu/project-categories#project-category-32</t>
  </si>
  <si>
    <t xml:space="preserve">Theatre</t>
  </si>
  <si>
    <t xml:space="preserve">Theater</t>
  </si>
  <si>
    <t xml:space="preserve">Q11635</t>
  </si>
  <si>
    <t xml:space="preserve">4059702-7</t>
  </si>
  <si>
    <t xml:space="preserve">Darstellende Kunst &gt; Theater</t>
  </si>
  <si>
    <t xml:space="preserve">Performing Arts &gt; Theatre</t>
  </si>
  <si>
    <t xml:space="preserve">http://w3id.org/arkumu/project-categories#project-category-33</t>
  </si>
  <si>
    <t xml:space="preserve">Theatre of the Absurd</t>
  </si>
  <si>
    <t xml:space="preserve">Absurdes Theater</t>
  </si>
  <si>
    <t xml:space="preserve">Antitheater,Absurdes Drama</t>
  </si>
  <si>
    <t xml:space="preserve">Q191760</t>
  </si>
  <si>
    <t xml:space="preserve">4141169-9</t>
  </si>
  <si>
    <t xml:space="preserve">Darstellende Kunst &gt; Theater &gt; Absurdes Theater</t>
  </si>
  <si>
    <t xml:space="preserve">Performing Arts &gt; Theatre &gt; Theatre of the Absurd</t>
  </si>
  <si>
    <t xml:space="preserve">http://w3id.org/arkumu/project-categories#project-category-34</t>
  </si>
  <si>
    <t xml:space="preserve">Alternative Theater</t>
  </si>
  <si>
    <t xml:space="preserve">Fringe</t>
  </si>
  <si>
    <t xml:space="preserve">Alternatives Theater</t>
  </si>
  <si>
    <t xml:space="preserve">Q1464930</t>
  </si>
  <si>
    <t xml:space="preserve">4454844-8</t>
  </si>
  <si>
    <t xml:space="preserve">Darstellende Kunst &gt; Theater &gt; Alternatives Theater</t>
  </si>
  <si>
    <t xml:space="preserve">Performing Arts &gt; Theatre &gt; Alternative Theater</t>
  </si>
  <si>
    <t xml:space="preserve">http://w3id.org/arkumu/project-categories#project-category-35</t>
  </si>
  <si>
    <t xml:space="preserve">Applied Theatre</t>
  </si>
  <si>
    <t xml:space="preserve">Applied Drama,Applied Performance</t>
  </si>
  <si>
    <t xml:space="preserve">Angewandtes Theater</t>
  </si>
  <si>
    <t xml:space="preserve">Q4781537</t>
  </si>
  <si>
    <t xml:space="preserve">Darstellende Kunst &gt; Theater &gt; Angewandtes Theater</t>
  </si>
  <si>
    <t xml:space="preserve">Performing Arts &gt; Theatre &gt; Applied Theatre</t>
  </si>
  <si>
    <t xml:space="preserve">http://w3id.org/arkumu/project-categories#project-category-36</t>
  </si>
  <si>
    <t xml:space="preserve">Epic Theatre</t>
  </si>
  <si>
    <t xml:space="preserve">Episches Theater</t>
  </si>
  <si>
    <t xml:space="preserve">Q722600</t>
  </si>
  <si>
    <t xml:space="preserve">4015051-3</t>
  </si>
  <si>
    <t xml:space="preserve">Darstellende Kunst &gt; Theater &gt; Episches Theater</t>
  </si>
  <si>
    <t xml:space="preserve">Performing Arts &gt; Theatre &gt; Epic Theatre</t>
  </si>
  <si>
    <t xml:space="preserve">http://w3id.org/arkumu/project-categories#project-category-37</t>
  </si>
  <si>
    <t xml:space="preserve">Experimental Theatre</t>
  </si>
  <si>
    <t xml:space="preserve">Experimentelles Theater</t>
  </si>
  <si>
    <t xml:space="preserve">Q3096995</t>
  </si>
  <si>
    <t xml:space="preserve">4124890-9</t>
  </si>
  <si>
    <t xml:space="preserve">Darstellende Kunst &gt; Theater &gt; Experimentelles Theater</t>
  </si>
  <si>
    <t xml:space="preserve">Performing Arts &gt; Theatre &gt; Experimental Theatre</t>
  </si>
  <si>
    <t xml:space="preserve">http://w3id.org/arkumu/project-categories#project-category-38</t>
  </si>
  <si>
    <t xml:space="preserve">Digital Theatre</t>
  </si>
  <si>
    <t xml:space="preserve">Q5276198</t>
  </si>
  <si>
    <t xml:space="preserve">Darstellende Kunst &gt; Theater &gt; Digital Theatre</t>
  </si>
  <si>
    <t xml:space="preserve">Performing Arts &gt; Theatre &gt; Digital Theatre</t>
  </si>
  <si>
    <t xml:space="preserve">http://w3id.org/arkumu/project-categories#project-category-39</t>
  </si>
  <si>
    <t xml:space="preserve">Documentary Theatre</t>
  </si>
  <si>
    <t xml:space="preserve">Dokumentarisches Theater</t>
  </si>
  <si>
    <t xml:space="preserve">Dokumentartheater,Dokumentarspiel</t>
  </si>
  <si>
    <t xml:space="preserve">Q634138</t>
  </si>
  <si>
    <t xml:space="preserve">4139054-4</t>
  </si>
  <si>
    <t xml:space="preserve">Darstellende Kunst &gt; Theater &gt; Dokumentarisches Theater</t>
  </si>
  <si>
    <t xml:space="preserve">Performing Arts &gt; Theatre &gt; Documentary Theatre</t>
  </si>
  <si>
    <t xml:space="preserve">http://w3id.org/arkumu/project-categories#project-category-40</t>
  </si>
  <si>
    <t xml:space="preserve">Puppetry Arts</t>
  </si>
  <si>
    <t xml:space="preserve">Figurentheater</t>
  </si>
  <si>
    <t xml:space="preserve">Puppentheater, Puppenspiel</t>
  </si>
  <si>
    <t xml:space="preserve">Q588750</t>
  </si>
  <si>
    <t xml:space="preserve">4247240-4</t>
  </si>
  <si>
    <t xml:space="preserve">Darstellende Kunst &gt; Theater &gt; Figurentheater</t>
  </si>
  <si>
    <t xml:space="preserve">Performing Arts &gt; Theatre &gt; Puppetry Arts</t>
  </si>
  <si>
    <t xml:space="preserve">http://w3id.org/arkumu/project-categories#project-category-41</t>
  </si>
  <si>
    <t xml:space="preserve">Open-Air Theatre</t>
  </si>
  <si>
    <t xml:space="preserve">Freilichttheater</t>
  </si>
  <si>
    <t xml:space="preserve">Q11183017</t>
  </si>
  <si>
    <t xml:space="preserve">Darstellende Kunst &gt; Theater &gt; Freilichttheater</t>
  </si>
  <si>
    <t xml:space="preserve">Performing Arts &gt; Theatre &gt; Open-Air Theatre</t>
  </si>
  <si>
    <t xml:space="preserve">http://w3id.org/arkumu/project-categories#project-category-42</t>
  </si>
  <si>
    <t xml:space="preserve">Improvisational Theatre</t>
  </si>
  <si>
    <t xml:space="preserve">Improvisationstheater</t>
  </si>
  <si>
    <t xml:space="preserve">Q1140700</t>
  </si>
  <si>
    <t xml:space="preserve">Darstellende Kunst &gt; Theater &gt; Improvisationstheater</t>
  </si>
  <si>
    <t xml:space="preserve">Performing Arts &gt; Theatre &gt; Improvisational Theatre</t>
  </si>
  <si>
    <t xml:space="preserve">http://w3id.org/arkumu/project-categories#project-category-43</t>
  </si>
  <si>
    <t xml:space="preserve">Interactive Theatre</t>
  </si>
  <si>
    <t xml:space="preserve">Interaktives Theater</t>
  </si>
  <si>
    <t xml:space="preserve">Q6045421</t>
  </si>
  <si>
    <t xml:space="preserve">Darstellende Kunst &gt; Theater &gt; Interaktives Theater</t>
  </si>
  <si>
    <t xml:space="preserve">Performing Arts &gt; Theatre &gt; Interactive Theatre</t>
  </si>
  <si>
    <t xml:space="preserve">http://w3id.org/arkumu/project-categories#project-category-44</t>
  </si>
  <si>
    <t xml:space="preserve">Youth Theatre</t>
  </si>
  <si>
    <t xml:space="preserve">Jugendtheater</t>
  </si>
  <si>
    <t xml:space="preserve">Q2416110</t>
  </si>
  <si>
    <t xml:space="preserve">4162874-3</t>
  </si>
  <si>
    <t xml:space="preserve">Darstellende Kunst &gt; Theater &gt; Jugendtheater</t>
  </si>
  <si>
    <t xml:space="preserve">Performing Arts &gt; Theatre &gt; Youth Theatre</t>
  </si>
  <si>
    <t xml:space="preserve">http://w3id.org/arkumu/project-categories#project-category-45</t>
  </si>
  <si>
    <t xml:space="preserve">Children's Theatre</t>
  </si>
  <si>
    <t xml:space="preserve">Kindertheater</t>
  </si>
  <si>
    <t xml:space="preserve">4125349-8</t>
  </si>
  <si>
    <t xml:space="preserve">Darstellende Kunst &gt; Theater &gt; Kindertheater</t>
  </si>
  <si>
    <t xml:space="preserve">Performing Arts &gt; Theatre &gt; Children's Theatre</t>
  </si>
  <si>
    <t xml:space="preserve">http://w3id.org/arkumu/project-categories#project-category-46</t>
  </si>
  <si>
    <t xml:space="preserve">Meta-Theatre</t>
  </si>
  <si>
    <t xml:space="preserve">Metatheater</t>
  </si>
  <si>
    <t xml:space="preserve">Metadrama</t>
  </si>
  <si>
    <t xml:space="preserve">Q16854678</t>
  </si>
  <si>
    <t xml:space="preserve">4169655-4</t>
  </si>
  <si>
    <t xml:space="preserve">Darstellende Kunst &gt; Theater &gt; Metatheater</t>
  </si>
  <si>
    <t xml:space="preserve">Performing Arts &gt; Theatre &gt; Meta-Theatre</t>
  </si>
  <si>
    <t xml:space="preserve">http://w3id.org/arkumu/project-categories#project-category-47</t>
  </si>
  <si>
    <t xml:space="preserve">Musical Theatre</t>
  </si>
  <si>
    <t xml:space="preserve">Musiktheater</t>
  </si>
  <si>
    <t xml:space="preserve">Q1370345</t>
  </si>
  <si>
    <t xml:space="preserve">4040874-7</t>
  </si>
  <si>
    <t xml:space="preserve">Darstellende Kunst &gt; Theater &gt; Musiktheater</t>
  </si>
  <si>
    <t xml:space="preserve">Performing Arts &gt; Theatre &gt; Musical Theatre</t>
  </si>
  <si>
    <t xml:space="preserve">http://w3id.org/arkumu/project-categories#project-category-48</t>
  </si>
  <si>
    <t xml:space="preserve">Physical Theatre</t>
  </si>
  <si>
    <t xml:space="preserve">Q3179173</t>
  </si>
  <si>
    <t xml:space="preserve">Darstellende Kunst &gt; Theater &gt; Physical Theatre</t>
  </si>
  <si>
    <t xml:space="preserve">Performing Arts &gt; Theatre &gt; Physical Theatre</t>
  </si>
  <si>
    <t xml:space="preserve">http://w3id.org/arkumu/project-categories#project-category-49</t>
  </si>
  <si>
    <t xml:space="preserve">Political Theatre</t>
  </si>
  <si>
    <t xml:space="preserve">Politisches Theater</t>
  </si>
  <si>
    <t xml:space="preserve">Q442725</t>
  </si>
  <si>
    <t xml:space="preserve">4046587-1</t>
  </si>
  <si>
    <t xml:space="preserve">Darstellende Kunst &gt; Theater &gt; Politisches Theater</t>
  </si>
  <si>
    <t xml:space="preserve">Performing Arts &gt; Theatre &gt; Political Theatre</t>
  </si>
  <si>
    <t xml:space="preserve">http://w3id.org/arkumu/project-categories#project-category-50</t>
  </si>
  <si>
    <t xml:space="preserve">Postdramatic Theatre</t>
  </si>
  <si>
    <t xml:space="preserve">Postdramatisches Theater</t>
  </si>
  <si>
    <t xml:space="preserve">Q2106021</t>
  </si>
  <si>
    <t xml:space="preserve">7686613-0</t>
  </si>
  <si>
    <t xml:space="preserve">Darstellende Kunst &gt; Theater &gt; Postdramatisches Theater</t>
  </si>
  <si>
    <t xml:space="preserve">Performing Arts &gt; Theatre &gt; Postdramatic Theatre</t>
  </si>
  <si>
    <t xml:space="preserve">http://w3id.org/arkumu/project-categories#project-category-51</t>
  </si>
  <si>
    <t xml:space="preserve">Postmodern Theatre</t>
  </si>
  <si>
    <t xml:space="preserve">Postmodernes Theater</t>
  </si>
  <si>
    <t xml:space="preserve">Q7234386</t>
  </si>
  <si>
    <t xml:space="preserve">Darstellende Kunst &gt; Theater &gt; Postmodernes Theater</t>
  </si>
  <si>
    <t xml:space="preserve">Performing Arts &gt; Theatre &gt; Postmodern Theatre</t>
  </si>
  <si>
    <t xml:space="preserve">http://w3id.org/arkumu/project-categories#project-category-52</t>
  </si>
  <si>
    <t xml:space="preserve">Street Theatre</t>
  </si>
  <si>
    <t xml:space="preserve">Straßentheater</t>
  </si>
  <si>
    <t xml:space="preserve">Q2140453</t>
  </si>
  <si>
    <t xml:space="preserve">4057922-0</t>
  </si>
  <si>
    <t xml:space="preserve">Darstellende Kunst &gt; Theater &gt; Straßentheater</t>
  </si>
  <si>
    <t xml:space="preserve">Performing Arts &gt; Theatre &gt; Street Theatre</t>
  </si>
  <si>
    <t xml:space="preserve">http://w3id.org/arkumu/project-categories#project-category-53</t>
  </si>
  <si>
    <t xml:space="preserve">Spoken Drama</t>
  </si>
  <si>
    <t xml:space="preserve">Drama,Common Theatre</t>
  </si>
  <si>
    <t xml:space="preserve">Sprechtheater</t>
  </si>
  <si>
    <t xml:space="preserve">Schauspiel,Drama</t>
  </si>
  <si>
    <t xml:space="preserve">Q39892385</t>
  </si>
  <si>
    <t xml:space="preserve">4182552-4</t>
  </si>
  <si>
    <t xml:space="preserve">Darstellende Kunst &gt; Theater &gt; Sprechtheater</t>
  </si>
  <si>
    <t xml:space="preserve">Performing Arts &gt; Theatre &gt; Spoken Drama</t>
  </si>
  <si>
    <t xml:space="preserve">http://w3id.org/arkumu/project-categories#project-category-54</t>
  </si>
  <si>
    <t xml:space="preserve">Dance Theatre</t>
  </si>
  <si>
    <t xml:space="preserve">Tanztheater</t>
  </si>
  <si>
    <t xml:space="preserve">Q1425858</t>
  </si>
  <si>
    <t xml:space="preserve">4184451-8</t>
  </si>
  <si>
    <t xml:space="preserve">Darstellende Kunst &gt; Theater &gt; Tanztheater</t>
  </si>
  <si>
    <t xml:space="preserve">Performing Arts &gt; Theatre &gt; Dance Theatre</t>
  </si>
  <si>
    <t xml:space="preserve">http://w3id.org/arkumu/project-categories#project-category-55</t>
  </si>
  <si>
    <t xml:space="preserve">Film/TV</t>
  </si>
  <si>
    <t xml:space="preserve">Film/Fernsehen</t>
  </si>
  <si>
    <t xml:space="preserve">Q11424</t>
  </si>
  <si>
    <t xml:space="preserve">4017102-4</t>
  </si>
  <si>
    <t xml:space="preserve">http://w3id.org/arkumu/project-categories#project-category-56</t>
  </si>
  <si>
    <t xml:space="preserve">Animated Film</t>
  </si>
  <si>
    <t xml:space="preserve">Animation</t>
  </si>
  <si>
    <t xml:space="preserve">Animationsfilm</t>
  </si>
  <si>
    <t xml:space="preserve">Q202866</t>
  </si>
  <si>
    <t xml:space="preserve">4142484-0</t>
  </si>
  <si>
    <t xml:space="preserve">c00006</t>
  </si>
  <si>
    <t xml:space="preserve">Film/TV &gt; Animationsfilm</t>
  </si>
  <si>
    <t xml:space="preserve">Film/TV &gt; Animated Film</t>
  </si>
  <si>
    <t xml:space="preserve">http://w3id.org/arkumu/project-categories#project-category-57</t>
  </si>
  <si>
    <t xml:space="preserve">Docudrama</t>
  </si>
  <si>
    <t xml:space="preserve">Dokudrama</t>
  </si>
  <si>
    <t xml:space="preserve">Q622370</t>
  </si>
  <si>
    <t xml:space="preserve">c00050</t>
  </si>
  <si>
    <t xml:space="preserve">Film/TV &gt; Dokudrama</t>
  </si>
  <si>
    <t xml:space="preserve">Film/TV &gt; Docudrama</t>
  </si>
  <si>
    <t xml:space="preserve">http://w3id.org/arkumu/project-categories#project-category-58</t>
  </si>
  <si>
    <t xml:space="preserve">Documentary Film</t>
  </si>
  <si>
    <t xml:space="preserve">Dokumentarfilm</t>
  </si>
  <si>
    <t xml:space="preserve">Q93204</t>
  </si>
  <si>
    <t xml:space="preserve">4012653-5</t>
  </si>
  <si>
    <t xml:space="preserve">c00007</t>
  </si>
  <si>
    <t xml:space="preserve">Film/TV &gt; Dokumentarfilm</t>
  </si>
  <si>
    <t xml:space="preserve">Film/TV &gt; Documentary Film</t>
  </si>
  <si>
    <t xml:space="preserve">http://w3id.org/arkumu/project-categories#project-category-59</t>
  </si>
  <si>
    <t xml:space="preserve">Short Documentary Film</t>
  </si>
  <si>
    <t xml:space="preserve">Kurz-Dokumentarfilm</t>
  </si>
  <si>
    <t xml:space="preserve">Q121742706</t>
  </si>
  <si>
    <t xml:space="preserve">c00019</t>
  </si>
  <si>
    <t xml:space="preserve">Film/TV &gt; Dokumentarfilm &gt; Kurz-Dokumentarfilm</t>
  </si>
  <si>
    <t xml:space="preserve">Film/TV &gt; Documentary Film &gt; Short Documentary Film</t>
  </si>
  <si>
    <t xml:space="preserve">http://w3id.org/arkumu/project-categories#project-category-60</t>
  </si>
  <si>
    <t xml:space="preserve">Screenplay</t>
  </si>
  <si>
    <t xml:space="preserve">Film Script</t>
  </si>
  <si>
    <t xml:space="preserve">Drehbuch</t>
  </si>
  <si>
    <t xml:space="preserve">Q103076</t>
  </si>
  <si>
    <t xml:space="preserve">4127976-1</t>
  </si>
  <si>
    <t xml:space="preserve">Film/TV &gt; Drehbuch</t>
  </si>
  <si>
    <t xml:space="preserve">Film/TV &gt; Screenplay</t>
  </si>
  <si>
    <t xml:space="preserve">http://w3id.org/arkumu/project-categories#project-category-61</t>
  </si>
  <si>
    <t xml:space="preserve">Episode</t>
  </si>
  <si>
    <t xml:space="preserve">Folge</t>
  </si>
  <si>
    <t xml:space="preserve">Q1983062</t>
  </si>
  <si>
    <t xml:space="preserve">4113453-9</t>
  </si>
  <si>
    <t xml:space="preserve">Film/TV &gt; Episode</t>
  </si>
  <si>
    <t xml:space="preserve">http://w3id.org/arkumu/project-categories#project-category-62</t>
  </si>
  <si>
    <t xml:space="preserve">Anthology Film</t>
  </si>
  <si>
    <t xml:space="preserve">Episodenfilm</t>
  </si>
  <si>
    <t xml:space="preserve">Anthologie</t>
  </si>
  <si>
    <t xml:space="preserve">Q336144</t>
  </si>
  <si>
    <t xml:space="preserve">4248221-5</t>
  </si>
  <si>
    <t xml:space="preserve">Film/TV &gt; Episodenfilm</t>
  </si>
  <si>
    <t xml:space="preserve">Film/TV &gt; Anthology Film</t>
  </si>
  <si>
    <t xml:space="preserve">http://w3id.org/arkumu/project-categories#project-category-63</t>
  </si>
  <si>
    <t xml:space="preserve">Essay Film</t>
  </si>
  <si>
    <t xml:space="preserve">Essay-Film</t>
  </si>
  <si>
    <t xml:space="preserve">Film-Essay</t>
  </si>
  <si>
    <t xml:space="preserve">Q11356864</t>
  </si>
  <si>
    <t xml:space="preserve">4279316-6</t>
  </si>
  <si>
    <t xml:space="preserve">Film/TV &gt; Essay-Film</t>
  </si>
  <si>
    <t xml:space="preserve">Film/TV &gt; Essay Film</t>
  </si>
  <si>
    <t xml:space="preserve">http://w3id.org/arkumu/project-categories#project-category-64</t>
  </si>
  <si>
    <t xml:space="preserve">Expanded Cinema</t>
  </si>
  <si>
    <t xml:space="preserve">Q117104066</t>
  </si>
  <si>
    <t xml:space="preserve">Film/TV &gt; Expanded Cinema</t>
  </si>
  <si>
    <t xml:space="preserve">http://w3id.org/arkumu/project-categories#project-category-65</t>
  </si>
  <si>
    <t xml:space="preserve">Experimental Film</t>
  </si>
  <si>
    <t xml:space="preserve">Experimentalfilm</t>
  </si>
  <si>
    <t xml:space="preserve">Q790192</t>
  </si>
  <si>
    <t xml:space="preserve">4153359-8</t>
  </si>
  <si>
    <t xml:space="preserve">c00011</t>
  </si>
  <si>
    <t xml:space="preserve">Film/TV &gt; Experimentalfilm</t>
  </si>
  <si>
    <t xml:space="preserve">Film/TV &gt; Experimental Film</t>
  </si>
  <si>
    <t xml:space="preserve">http://w3id.org/arkumu/project-categories#project-category-66</t>
  </si>
  <si>
    <t xml:space="preserve">Compilation Film</t>
  </si>
  <si>
    <t xml:space="preserve">Kompilationsfilm</t>
  </si>
  <si>
    <t xml:space="preserve">Archivfilm,Chronikfilm</t>
  </si>
  <si>
    <t xml:space="preserve">Q455315</t>
  </si>
  <si>
    <t xml:space="preserve">c00013</t>
  </si>
  <si>
    <t xml:space="preserve">Film/TV &gt; Kompilationsfilm</t>
  </si>
  <si>
    <t xml:space="preserve">Film/TV &gt; Compilation Film</t>
  </si>
  <si>
    <t xml:space="preserve">http://w3id.org/arkumu/project-categories#project-category-67</t>
  </si>
  <si>
    <t xml:space="preserve">Mockumentary</t>
  </si>
  <si>
    <t xml:space="preserve">Q459435</t>
  </si>
  <si>
    <t xml:space="preserve">7738916-5</t>
  </si>
  <si>
    <t xml:space="preserve">Film/TV &gt; Mockumentary</t>
  </si>
  <si>
    <t xml:space="preserve">http://w3id.org/arkumu/project-categories#project-category-68</t>
  </si>
  <si>
    <t xml:space="preserve">Musical Film</t>
  </si>
  <si>
    <t xml:space="preserve">Musikfilm</t>
  </si>
  <si>
    <t xml:space="preserve">Q842256</t>
  </si>
  <si>
    <t xml:space="preserve">4170822-2</t>
  </si>
  <si>
    <t xml:space="preserve">Film/TV &gt; Musikfilm</t>
  </si>
  <si>
    <t xml:space="preserve">Film/TV &gt; Musical Film</t>
  </si>
  <si>
    <t xml:space="preserve">http://w3id.org/arkumu/project-categories#project-category-69</t>
  </si>
  <si>
    <t xml:space="preserve">Music Video</t>
  </si>
  <si>
    <t xml:space="preserve">Musikvideo</t>
  </si>
  <si>
    <t xml:space="preserve">Q193977</t>
  </si>
  <si>
    <t xml:space="preserve">4492539-6</t>
  </si>
  <si>
    <t xml:space="preserve">c00017</t>
  </si>
  <si>
    <t xml:space="preserve">Film/TV &gt; Musikvideo</t>
  </si>
  <si>
    <t xml:space="preserve">Film/TV &gt; Music Video</t>
  </si>
  <si>
    <t xml:space="preserve">http://w3id.org/arkumu/project-categories#project-category-70</t>
  </si>
  <si>
    <t xml:space="preserve">Reportage</t>
  </si>
  <si>
    <t xml:space="preserve">Q124922</t>
  </si>
  <si>
    <t xml:space="preserve">4049528-0</t>
  </si>
  <si>
    <t xml:space="preserve">Film/TV &gt; Reportage</t>
  </si>
  <si>
    <t xml:space="preserve">http://w3id.org/arkumu/project-categories#project-category-71</t>
  </si>
  <si>
    <t xml:space="preserve">Soundtrack</t>
  </si>
  <si>
    <t xml:space="preserve">Q217199</t>
  </si>
  <si>
    <t xml:space="preserve">4017129-2</t>
  </si>
  <si>
    <t xml:space="preserve">Film/TV &gt; Soundtrack</t>
  </si>
  <si>
    <t xml:space="preserve">http://w3id.org/arkumu/project-categories#project-category-72</t>
  </si>
  <si>
    <t xml:space="preserve">Feature Film</t>
  </si>
  <si>
    <t xml:space="preserve">Movie,Fiction Film</t>
  </si>
  <si>
    <t xml:space="preserve">Spielfilm</t>
  </si>
  <si>
    <t xml:space="preserve">Szenischer Film,Fiktionaler Film,Kinospielfilm</t>
  </si>
  <si>
    <t xml:space="preserve">Q12912091</t>
  </si>
  <si>
    <t xml:space="preserve">c00003</t>
  </si>
  <si>
    <t xml:space="preserve">Film/TV &gt; Spielfilm</t>
  </si>
  <si>
    <t xml:space="preserve">Film/TV &gt; Feature Film</t>
  </si>
  <si>
    <t xml:space="preserve">http://w3id.org/arkumu/project-categories#project-category-73</t>
  </si>
  <si>
    <t xml:space="preserve">Short Film</t>
  </si>
  <si>
    <t xml:space="preserve">Kurzspielfilm</t>
  </si>
  <si>
    <t xml:space="preserve">Kurzfilm</t>
  </si>
  <si>
    <t xml:space="preserve">Q24862</t>
  </si>
  <si>
    <t xml:space="preserve">4166233-7</t>
  </si>
  <si>
    <t xml:space="preserve">Film/TV &gt; Spielfilm &gt; Kurzspielfilm</t>
  </si>
  <si>
    <t xml:space="preserve">Film/TV &gt; Feature Film &gt; Short Film</t>
  </si>
  <si>
    <t xml:space="preserve">http://w3id.org/arkumu/project-categories#project-category-74</t>
  </si>
  <si>
    <t xml:space="preserve">Film Trailer</t>
  </si>
  <si>
    <t xml:space="preserve">Trailer für Film</t>
  </si>
  <si>
    <t xml:space="preserve">Kinotrailer,Filmtrailer</t>
  </si>
  <si>
    <t xml:space="preserve">Q622550</t>
  </si>
  <si>
    <t xml:space="preserve">4349797-4</t>
  </si>
  <si>
    <t xml:space="preserve">c00005</t>
  </si>
  <si>
    <t xml:space="preserve">Film/TV &gt; Trailer für Film</t>
  </si>
  <si>
    <t xml:space="preserve">Film/TV &gt; Film Trailer</t>
  </si>
  <si>
    <t xml:space="preserve">http://w3id.org/arkumu/project-categories#project-category-75</t>
  </si>
  <si>
    <t xml:space="preserve">Television Programme</t>
  </si>
  <si>
    <t xml:space="preserve">TV Program,TV Show,Television Program</t>
  </si>
  <si>
    <t xml:space="preserve">TV-Format</t>
  </si>
  <si>
    <t xml:space="preserve">Fernsehsendung,TV-Sendung,Fernsehprogramm,TV-Programm</t>
  </si>
  <si>
    <t xml:space="preserve">Q15416</t>
  </si>
  <si>
    <t xml:space="preserve">4016842-6</t>
  </si>
  <si>
    <t xml:space="preserve">Film/TV &gt; TV-Format</t>
  </si>
  <si>
    <t xml:space="preserve">Film/TV &gt; Television Program</t>
  </si>
  <si>
    <t xml:space="preserve">http://w3id.org/arkumu/project-categories#project-category-76</t>
  </si>
  <si>
    <t xml:space="preserve">Web Series</t>
  </si>
  <si>
    <t xml:space="preserve">VLOG,Video Blog,Serial</t>
  </si>
  <si>
    <t xml:space="preserve">Webserie</t>
  </si>
  <si>
    <t xml:space="preserve">Serielles Format</t>
  </si>
  <si>
    <t xml:space="preserve">Q526877</t>
  </si>
  <si>
    <t xml:space="preserve">Film/TV &gt; Webserie</t>
  </si>
  <si>
    <t xml:space="preserve">Film/TV &gt; Web Series</t>
  </si>
  <si>
    <t xml:space="preserve">http://w3id.org/arkumu/project-categories#project-category-77</t>
  </si>
  <si>
    <t xml:space="preserve">Commercial</t>
  </si>
  <si>
    <t xml:space="preserve">Audio-Visual Advertisement,Advertising Film,Advertisement,Promotional Video</t>
  </si>
  <si>
    <t xml:space="preserve">Werbespot</t>
  </si>
  <si>
    <t xml:space="preserve">Werbefilm</t>
  </si>
  <si>
    <t xml:space="preserve">Q1869909</t>
  </si>
  <si>
    <t xml:space="preserve">4197734-8</t>
  </si>
  <si>
    <t xml:space="preserve">c00002</t>
  </si>
  <si>
    <t xml:space="preserve">Film/TV &gt; Werbespot</t>
  </si>
  <si>
    <t xml:space="preserve">Film/TV &gt; Commercial</t>
  </si>
  <si>
    <t xml:space="preserve">http://w3id.org/arkumu/project-categories#project-category-78</t>
  </si>
  <si>
    <t xml:space="preserve">Art</t>
  </si>
  <si>
    <t xml:space="preserve">Fine Art,Visual Art</t>
  </si>
  <si>
    <t xml:space="preserve">Kunst</t>
  </si>
  <si>
    <t xml:space="preserve">Medienkunst,Bildende Kunst</t>
  </si>
  <si>
    <t xml:space="preserve">Q838948</t>
  </si>
  <si>
    <t xml:space="preserve">4114333-4</t>
  </si>
  <si>
    <t xml:space="preserve">http://w3id.org/arkumu/project-categories#project-category-79</t>
  </si>
  <si>
    <t xml:space="preserve">Bio Art</t>
  </si>
  <si>
    <t xml:space="preserve">Q2561815</t>
  </si>
  <si>
    <t xml:space="preserve">Kunst &gt; Bio Art</t>
  </si>
  <si>
    <t xml:space="preserve">Art &gt; Bio Art</t>
  </si>
  <si>
    <t xml:space="preserve">http://w3id.org/arkumu/project-categories#project-category-80</t>
  </si>
  <si>
    <t xml:space="preserve">Digital Art</t>
  </si>
  <si>
    <t xml:space="preserve">Digitale Kunst</t>
  </si>
  <si>
    <t xml:space="preserve">Computerbasierte Kunst, Computerkunst</t>
  </si>
  <si>
    <t xml:space="preserve">Q860372</t>
  </si>
  <si>
    <t xml:space="preserve">4010453-9</t>
  </si>
  <si>
    <t xml:space="preserve">Kunst &gt; Digitale Kunst</t>
  </si>
  <si>
    <t xml:space="preserve">Art &gt; Digital Art</t>
  </si>
  <si>
    <t xml:space="preserve">http://w3id.org/arkumu/project-categories#project-category-81</t>
  </si>
  <si>
    <t xml:space="preserve">Augmented Reality</t>
  </si>
  <si>
    <t xml:space="preserve">AR</t>
  </si>
  <si>
    <t xml:space="preserve">Erweiterte Realität</t>
  </si>
  <si>
    <t xml:space="preserve">Q254183</t>
  </si>
  <si>
    <t xml:space="preserve">4715802-5</t>
  </si>
  <si>
    <t xml:space="preserve">Kunst &gt; Digitale Kunst &gt; Augmented Reality</t>
  </si>
  <si>
    <t xml:space="preserve">Art &gt; Digital Art &gt; Augmented Reality</t>
  </si>
  <si>
    <t xml:space="preserve">http://w3id.org/arkumu/project-categories#project-category-82</t>
  </si>
  <si>
    <t xml:space="preserve">CD-ROM</t>
  </si>
  <si>
    <t xml:space="preserve">Q7982</t>
  </si>
  <si>
    <t xml:space="preserve">4139307-7</t>
  </si>
  <si>
    <t xml:space="preserve">Kunst &gt; Digitale Kunst &gt; CD-ROM</t>
  </si>
  <si>
    <t xml:space="preserve">Art &gt; Digital Art &gt; CD-ROM</t>
  </si>
  <si>
    <t xml:space="preserve">http://w3id.org/arkumu/project-categories#project-category-83</t>
  </si>
  <si>
    <t xml:space="preserve">Computer Generated Imagery</t>
  </si>
  <si>
    <t xml:space="preserve">CGI,Computer Graphics</t>
  </si>
  <si>
    <t xml:space="preserve">Computergrafik</t>
  </si>
  <si>
    <t xml:space="preserve">Q6002306</t>
  </si>
  <si>
    <t xml:space="preserve">4197506-6</t>
  </si>
  <si>
    <t xml:space="preserve">Kunst &gt; Digitale Kunst &gt; Computer Generated Imagery</t>
  </si>
  <si>
    <t xml:space="preserve">Art &gt; Digital Art &gt; Computer Generated Imagery</t>
  </si>
  <si>
    <t xml:space="preserve">http://w3id.org/arkumu/project-categories#project-category-84</t>
  </si>
  <si>
    <t xml:space="preserve">Computer Animation</t>
  </si>
  <si>
    <t xml:space="preserve">Computeranimation</t>
  </si>
  <si>
    <t xml:space="preserve">Q1401416</t>
  </si>
  <si>
    <t xml:space="preserve">4199710-4</t>
  </si>
  <si>
    <t xml:space="preserve">Kunst &gt; Digitale Kunst &gt; Computeranimation</t>
  </si>
  <si>
    <t xml:space="preserve">Art &gt; Digital Art &gt; Computer Animation</t>
  </si>
  <si>
    <t xml:space="preserve">http://w3id.org/arkumu/project-categories#project-category-85</t>
  </si>
  <si>
    <t xml:space="preserve">Computer Game</t>
  </si>
  <si>
    <t xml:space="preserve">Game,Video Game,Serious Game</t>
  </si>
  <si>
    <t xml:space="preserve">Computerspiel</t>
  </si>
  <si>
    <t xml:space="preserve">Videospiel</t>
  </si>
  <si>
    <t xml:space="preserve">Q7889</t>
  </si>
  <si>
    <t xml:space="preserve">4010457-6</t>
  </si>
  <si>
    <t xml:space="preserve">Kunst &gt; Digitale Kunst &gt; Computerspiel</t>
  </si>
  <si>
    <t xml:space="preserve">Art &gt; Digital Art &gt; Computer Game</t>
  </si>
  <si>
    <t xml:space="preserve">http://w3id.org/arkumu/project-categories#project-category-86</t>
  </si>
  <si>
    <t xml:space="preserve">Generative Art</t>
  </si>
  <si>
    <t xml:space="preserve">Generative Kunst</t>
  </si>
  <si>
    <t xml:space="preserve">Q1502032</t>
  </si>
  <si>
    <t xml:space="preserve">Kunst &gt; Digitale Kunst &gt; Generative Kunst</t>
  </si>
  <si>
    <t xml:space="preserve">Art &gt; Digital Art &gt; Generative Art</t>
  </si>
  <si>
    <t xml:space="preserve">http://w3id.org/arkumu/project-categories#project-category-87</t>
  </si>
  <si>
    <t xml:space="preserve">Interactive Art</t>
  </si>
  <si>
    <t xml:space="preserve">Interaktive Kunst</t>
  </si>
  <si>
    <t xml:space="preserve">Q2394336</t>
  </si>
  <si>
    <t xml:space="preserve">4557518-6</t>
  </si>
  <si>
    <t xml:space="preserve">Kunst &gt; Digitale Kunst &gt; Interaktive Kunst</t>
  </si>
  <si>
    <t xml:space="preserve">Art &gt; Digital Art &gt; Interactive Art</t>
  </si>
  <si>
    <t xml:space="preserve">http://w3id.org/arkumu/project-categories#project-category-88</t>
  </si>
  <si>
    <t xml:space="preserve">Net Art</t>
  </si>
  <si>
    <t xml:space="preserve">NetArt,Internet Art</t>
  </si>
  <si>
    <t xml:space="preserve">Netzkunst</t>
  </si>
  <si>
    <t xml:space="preserve">Netzprojekt</t>
  </si>
  <si>
    <t xml:space="preserve">Q1569950</t>
  </si>
  <si>
    <t xml:space="preserve">4571611-0</t>
  </si>
  <si>
    <t xml:space="preserve">Kunst &gt; Digitale Kunst &gt; Netzkunst</t>
  </si>
  <si>
    <t xml:space="preserve">Art &gt; Digital Art &gt; Net Art</t>
  </si>
  <si>
    <t xml:space="preserve">http://w3id.org/arkumu/project-categories#project-category-89</t>
  </si>
  <si>
    <t xml:space="preserve">Software</t>
  </si>
  <si>
    <t xml:space="preserve">Softwarekunst</t>
  </si>
  <si>
    <t xml:space="preserve">Q2864686</t>
  </si>
  <si>
    <t xml:space="preserve">Kunst &gt; Digitale Kunst &gt; Software</t>
  </si>
  <si>
    <t xml:space="preserve">Art &gt; Digital Art &gt; Software</t>
  </si>
  <si>
    <t xml:space="preserve">http://w3id.org/arkumu/project-categories#project-category-90</t>
  </si>
  <si>
    <t xml:space="preserve">User Interface</t>
  </si>
  <si>
    <t xml:space="preserve">UI,Interface</t>
  </si>
  <si>
    <t xml:space="preserve">Benutzerschnittstelle,Mensch-Maschine-Schnittstelle</t>
  </si>
  <si>
    <t xml:space="preserve">Q47146</t>
  </si>
  <si>
    <t xml:space="preserve">4720440-0</t>
  </si>
  <si>
    <t xml:space="preserve">Kunst &gt; Digitale Kunst &gt; User Interface</t>
  </si>
  <si>
    <t xml:space="preserve">Art &gt; Digital Art &gt; User Interface</t>
  </si>
  <si>
    <t xml:space="preserve">http://w3id.org/arkumu/project-categories#project-category-91</t>
  </si>
  <si>
    <t xml:space="preserve">Virtual Reality</t>
  </si>
  <si>
    <t xml:space="preserve">VR</t>
  </si>
  <si>
    <t xml:space="preserve">Virtuelle Realität</t>
  </si>
  <si>
    <t xml:space="preserve">Q170519</t>
  </si>
  <si>
    <t xml:space="preserve">4399931-1</t>
  </si>
  <si>
    <t xml:space="preserve">Kunst &gt; Digitale Kunst &gt; Virtual Reality</t>
  </si>
  <si>
    <t xml:space="preserve">Art &gt; Digital Art &gt; Virtual Reality</t>
  </si>
  <si>
    <t xml:space="preserve">http://w3id.org/arkumu/project-categories#project-category-92</t>
  </si>
  <si>
    <t xml:space="preserve">Kunst &gt; Digitale Kunst &gt; Webserie</t>
  </si>
  <si>
    <t xml:space="preserve">Art &gt; Digital Art &gt; Web Series</t>
  </si>
  <si>
    <t xml:space="preserve">http://w3id.org/arkumu/project-categories#project-category-93</t>
  </si>
  <si>
    <t xml:space="preserve">Installation</t>
  </si>
  <si>
    <t xml:space="preserve">Environment</t>
  </si>
  <si>
    <t xml:space="preserve">Rauminstallation,Raumkonzept</t>
  </si>
  <si>
    <t xml:space="preserve">Q20437094</t>
  </si>
  <si>
    <t xml:space="preserve">4131808-0</t>
  </si>
  <si>
    <t xml:space="preserve">Kunst &gt; Installation</t>
  </si>
  <si>
    <t xml:space="preserve">Art &gt; Installation</t>
  </si>
  <si>
    <t xml:space="preserve">http://w3id.org/arkumu/project-categories#project-category-94</t>
  </si>
  <si>
    <t xml:space="preserve">Photo Installation</t>
  </si>
  <si>
    <t xml:space="preserve">Fotoinstallation</t>
  </si>
  <si>
    <t xml:space="preserve">Q117021891</t>
  </si>
  <si>
    <t xml:space="preserve">4395048-6</t>
  </si>
  <si>
    <t xml:space="preserve">Kunst &gt; Installation &gt; Fotoinstallation</t>
  </si>
  <si>
    <t xml:space="preserve">Art &gt; Installation &gt; Photo Installation</t>
  </si>
  <si>
    <t xml:space="preserve">http://w3id.org/arkumu/project-categories#project-category-95</t>
  </si>
  <si>
    <t xml:space="preserve">Kunst &gt; Installation &gt; Interaktive Kunst</t>
  </si>
  <si>
    <t xml:space="preserve">Art &gt; Installation &gt; Interactive Art</t>
  </si>
  <si>
    <t xml:space="preserve">http://w3id.org/arkumu/project-categories#project-category-96</t>
  </si>
  <si>
    <t xml:space="preserve">Intervention</t>
  </si>
  <si>
    <t xml:space="preserve">Q3937287</t>
  </si>
  <si>
    <t xml:space="preserve">Kunst &gt; Installation &gt; Intervention</t>
  </si>
  <si>
    <t xml:space="preserve">Art &gt; Installation &gt; Intervention</t>
  </si>
  <si>
    <t xml:space="preserve">http://w3id.org/arkumu/project-categories#project-category-97</t>
  </si>
  <si>
    <t xml:space="preserve">Sound Installation</t>
  </si>
  <si>
    <t xml:space="preserve">Klanginstallation</t>
  </si>
  <si>
    <t xml:space="preserve">Q2633362</t>
  </si>
  <si>
    <t xml:space="preserve">Kunst &gt; Installation &gt; Klanginstallation</t>
  </si>
  <si>
    <t xml:space="preserve">Art &gt; Installation &gt; Sound Installation</t>
  </si>
  <si>
    <t xml:space="preserve">http://w3id.org/arkumu/project-categories#project-category-98</t>
  </si>
  <si>
    <t xml:space="preserve">Percent for Art</t>
  </si>
  <si>
    <t xml:space="preserve">Kunst am Bau</t>
  </si>
  <si>
    <t xml:space="preserve">Q1726794</t>
  </si>
  <si>
    <t xml:space="preserve">4114334-6</t>
  </si>
  <si>
    <t xml:space="preserve">Kunst &gt; Installation &gt; Kunst am Bau</t>
  </si>
  <si>
    <t xml:space="preserve">Art &gt; Installation &gt; Percent for Art</t>
  </si>
  <si>
    <t xml:space="preserve">http://w3id.org/arkumu/project-categories#project-category-99</t>
  </si>
  <si>
    <t xml:space="preserve">Public Art</t>
  </si>
  <si>
    <t xml:space="preserve">Kunst im öffentlichen Raum</t>
  </si>
  <si>
    <t xml:space="preserve">Q557141</t>
  </si>
  <si>
    <t xml:space="preserve">Kunst &gt; Installation &gt; Kunst im öffentlichen Raum</t>
  </si>
  <si>
    <t xml:space="preserve">Art &gt; Installation &gt; Public Art</t>
  </si>
  <si>
    <t xml:space="preserve">http://w3id.org/arkumu/project-categories#project-category-100</t>
  </si>
  <si>
    <t xml:space="preserve">Light Installation</t>
  </si>
  <si>
    <t xml:space="preserve">Lichtinstallation</t>
  </si>
  <si>
    <t xml:space="preserve">Q1823448</t>
  </si>
  <si>
    <t xml:space="preserve">4614008-6</t>
  </si>
  <si>
    <t xml:space="preserve">Kunst &gt; Installation &gt; Lichtinstallation</t>
  </si>
  <si>
    <t xml:space="preserve">Art &gt; Installation &gt; Light Installation</t>
  </si>
  <si>
    <t xml:space="preserve">http://w3id.org/arkumu/project-categories#project-category-101</t>
  </si>
  <si>
    <t xml:space="preserve">Video Installation</t>
  </si>
  <si>
    <t xml:space="preserve">Videoinstallation</t>
  </si>
  <si>
    <t xml:space="preserve">Q550484</t>
  </si>
  <si>
    <t xml:space="preserve">4347940-6</t>
  </si>
  <si>
    <t xml:space="preserve">Kunst &gt; Installation &gt; Videoinstallation</t>
  </si>
  <si>
    <t xml:space="preserve">Art &gt; Installation &gt; Video Installation</t>
  </si>
  <si>
    <t xml:space="preserve">http://w3id.org/arkumu/project-categories#project-category-102</t>
  </si>
  <si>
    <t xml:space="preserve">Sound Art</t>
  </si>
  <si>
    <t xml:space="preserve">Klangkunst</t>
  </si>
  <si>
    <t xml:space="preserve">Klang</t>
  </si>
  <si>
    <t xml:space="preserve">Q1744327</t>
  </si>
  <si>
    <t xml:space="preserve">4430771-8</t>
  </si>
  <si>
    <t xml:space="preserve">Kunst &gt; Klangkunst</t>
  </si>
  <si>
    <t xml:space="preserve">Art &gt; Sound Art</t>
  </si>
  <si>
    <t xml:space="preserve">http://w3id.org/arkumu/project-categories#project-category-103</t>
  </si>
  <si>
    <t xml:space="preserve">Album</t>
  </si>
  <si>
    <t xml:space="preserve">Q482994</t>
  </si>
  <si>
    <t xml:space="preserve">Kunst &gt; Klangkunst &gt; Album</t>
  </si>
  <si>
    <t xml:space="preserve">Art &gt; Sound Art &gt; Album</t>
  </si>
  <si>
    <t xml:space="preserve">http://w3id.org/arkumu/project-categories#project-category-104</t>
  </si>
  <si>
    <t xml:space="preserve">Field Recording</t>
  </si>
  <si>
    <t xml:space="preserve">Live Sound Recording</t>
  </si>
  <si>
    <t xml:space="preserve">Feldaufnahme</t>
  </si>
  <si>
    <t xml:space="preserve">Q360982</t>
  </si>
  <si>
    <t xml:space="preserve">Kunst &gt; Klangkunst &gt; Field Recording</t>
  </si>
  <si>
    <t xml:space="preserve">Art &gt; Sound Art &gt; Field Recording</t>
  </si>
  <si>
    <t xml:space="preserve">http://w3id.org/arkumu/project-categories#project-category-105</t>
  </si>
  <si>
    <t xml:space="preserve">Listening Piece</t>
  </si>
  <si>
    <t xml:space="preserve">Hörstück</t>
  </si>
  <si>
    <t xml:space="preserve">Q121788275</t>
  </si>
  <si>
    <t xml:space="preserve">Kunst &gt; Klangkunst &gt; Hörstück</t>
  </si>
  <si>
    <t xml:space="preserve">Art &gt; Sound Art &gt; Listening Piece</t>
  </si>
  <si>
    <t xml:space="preserve">http://w3id.org/arkumu/project-categories#project-category-106</t>
  </si>
  <si>
    <t xml:space="preserve">Kunst &gt; Klangkunst &gt; Klanginstallation</t>
  </si>
  <si>
    <t xml:space="preserve">Art &gt; Sound Art &gt; Sound Installation</t>
  </si>
  <si>
    <t xml:space="preserve">http://w3id.org/arkumu/project-categories#project-category-107</t>
  </si>
  <si>
    <t xml:space="preserve">Sound Sculpture</t>
  </si>
  <si>
    <t xml:space="preserve">Klangobjekt</t>
  </si>
  <si>
    <t xml:space="preserve">Akustische Skulptur</t>
  </si>
  <si>
    <t xml:space="preserve">Q2236597</t>
  </si>
  <si>
    <t xml:space="preserve">4364747-9</t>
  </si>
  <si>
    <t xml:space="preserve">Kunst &gt; Klangkunst &gt; Klangobjekt</t>
  </si>
  <si>
    <t xml:space="preserve">Art &gt; Sound Art &gt; Sound Sculpture</t>
  </si>
  <si>
    <t xml:space="preserve">http://w3id.org/arkumu/project-categories#project-category-108</t>
  </si>
  <si>
    <t xml:space="preserve">Composition</t>
  </si>
  <si>
    <t xml:space="preserve">Komposition</t>
  </si>
  <si>
    <t xml:space="preserve">Q207628</t>
  </si>
  <si>
    <t xml:space="preserve">4133320-2</t>
  </si>
  <si>
    <t xml:space="preserve">Kunst &gt; Klangkunst &gt; Komposition</t>
  </si>
  <si>
    <t xml:space="preserve">Art &gt; Sound Art &gt; Composition</t>
  </si>
  <si>
    <t xml:space="preserve">http://w3id.org/arkumu/project-categories#project-category-109</t>
  </si>
  <si>
    <t xml:space="preserve">Concert</t>
  </si>
  <si>
    <t xml:space="preserve">Konzert</t>
  </si>
  <si>
    <t xml:space="preserve">Q182832</t>
  </si>
  <si>
    <t xml:space="preserve">4317474-7</t>
  </si>
  <si>
    <t xml:space="preserve">Kunst &gt; Klangkunst &gt; Konzert</t>
  </si>
  <si>
    <t xml:space="preserve">Art &gt; Sound Art &gt; Concert</t>
  </si>
  <si>
    <t xml:space="preserve">http://w3id.org/arkumu/project-categories#project-category-110</t>
  </si>
  <si>
    <t xml:space="preserve">Kunst &gt; Klangkunst &gt; Soundtrack</t>
  </si>
  <si>
    <t xml:space="preserve">Art &gt; Sound Art &gt; Soundtrack</t>
  </si>
  <si>
    <t xml:space="preserve">http://w3id.org/arkumu/project-categories#project-category-111</t>
  </si>
  <si>
    <t xml:space="preserve">Artist's Publication</t>
  </si>
  <si>
    <t xml:space="preserve">Künstler:innen-Publikation</t>
  </si>
  <si>
    <t xml:space="preserve">Künstlerpublikation</t>
  </si>
  <si>
    <t xml:space="preserve">Q121788724</t>
  </si>
  <si>
    <t xml:space="preserve">Kunst &gt; Künstler:innen-Publikation</t>
  </si>
  <si>
    <t xml:space="preserve">Art &gt; Artist's Publication</t>
  </si>
  <si>
    <t xml:space="preserve">http://w3id.org/arkumu/project-categories#project-category-112</t>
  </si>
  <si>
    <t xml:space="preserve">Artist's Book</t>
  </si>
  <si>
    <t xml:space="preserve">Artist book,Book Art</t>
  </si>
  <si>
    <t xml:space="preserve">Künstler:innen-Buch</t>
  </si>
  <si>
    <t xml:space="preserve">Buchkunst,Buchprojekt,Künstlerbuch</t>
  </si>
  <si>
    <t xml:space="preserve">Q1062404</t>
  </si>
  <si>
    <t xml:space="preserve">4229053-3</t>
  </si>
  <si>
    <t xml:space="preserve">Kunst &gt; Künstler:innen-Publikation &gt; Künstler:innen-Buch</t>
  </si>
  <si>
    <t xml:space="preserve">Art &gt; Artist's Publication &gt; Artist's Book</t>
  </si>
  <si>
    <t xml:space="preserve">http://w3id.org/arkumu/project-categories#project-category-113</t>
  </si>
  <si>
    <t xml:space="preserve">Artist's Statement</t>
  </si>
  <si>
    <t xml:space="preserve">Artist's Text,Statement</t>
  </si>
  <si>
    <t xml:space="preserve">Künstler:innen-Text</t>
  </si>
  <si>
    <t xml:space="preserve">Künstler:innen-Statement</t>
  </si>
  <si>
    <t xml:space="preserve">Q4801214</t>
  </si>
  <si>
    <t xml:space="preserve">Kunst &gt; Künstler:innen-Publikation &gt; Künstler:innen-Text</t>
  </si>
  <si>
    <t xml:space="preserve">Art &gt; Artist's Publication &gt; Artist's Statement</t>
  </si>
  <si>
    <t xml:space="preserve">http://w3id.org/arkumu/project-categories#project-category-114</t>
  </si>
  <si>
    <t xml:space="preserve">Kunst &gt; Künstler:innen-Publikation &gt; Podcast</t>
  </si>
  <si>
    <t xml:space="preserve">Art &gt; Künstler:innen-Publikation &gt; Podcast</t>
  </si>
  <si>
    <t xml:space="preserve">http://w3id.org/arkumu/project-categories#project-category-115</t>
  </si>
  <si>
    <t xml:space="preserve">Kunst &gt; Künstler:innen-Publikation &gt; Webseite</t>
  </si>
  <si>
    <t xml:space="preserve">Art &gt; Künstler:innen-Publikation &gt; Website</t>
  </si>
  <si>
    <t xml:space="preserve">http://w3id.org/arkumu/project-categories#project-category-116</t>
  </si>
  <si>
    <t xml:space="preserve">Fine Art Photography</t>
  </si>
  <si>
    <t xml:space="preserve">Künstlerische Fotografie</t>
  </si>
  <si>
    <t xml:space="preserve">Fotokunst,Kunstfotografie</t>
  </si>
  <si>
    <t xml:space="preserve">Q1066582</t>
  </si>
  <si>
    <t xml:space="preserve">Kunst &gt; Künstlerische Fotografie</t>
  </si>
  <si>
    <t xml:space="preserve">Art &gt; Fine Art Photography</t>
  </si>
  <si>
    <t xml:space="preserve">http://w3id.org/arkumu/project-categories#project-category-117</t>
  </si>
  <si>
    <t xml:space="preserve">Computer-Generated Imagery</t>
  </si>
  <si>
    <t xml:space="preserve">Kunst &gt; Künstlerische Fotografie &gt; Computer Generated Imagery</t>
  </si>
  <si>
    <t xml:space="preserve">Art &gt; Fine Art Photography &gt; Computer-Generated Imagery</t>
  </si>
  <si>
    <t xml:space="preserve">http://w3id.org/arkumu/project-categories#project-category-118</t>
  </si>
  <si>
    <t xml:space="preserve">Künstlerische Dokumentarfotografie</t>
  </si>
  <si>
    <t xml:space="preserve">Kunst &gt; Künstlerische Fotografie &gt; Dokumentarfotografie</t>
  </si>
  <si>
    <t xml:space="preserve">Art &gt; Fine Art Photography &gt; Documentary Photography</t>
  </si>
  <si>
    <t xml:space="preserve">http://w3id.org/arkumu/project-categories#project-category-119</t>
  </si>
  <si>
    <t xml:space="preserve">Photobook</t>
  </si>
  <si>
    <t xml:space="preserve">Photo-Book,Photo Book</t>
  </si>
  <si>
    <t xml:space="preserve">Fotobuch</t>
  </si>
  <si>
    <t xml:space="preserve">Q604219</t>
  </si>
  <si>
    <t xml:space="preserve">7660057-9</t>
  </si>
  <si>
    <t xml:space="preserve">Kunst &gt; Künstlerische Fotografie &gt; Fotobuch</t>
  </si>
  <si>
    <t xml:space="preserve">Art &gt; Fine Art Photography &gt; Photobook</t>
  </si>
  <si>
    <t xml:space="preserve">http://w3id.org/arkumu/project-categories#project-category-120</t>
  </si>
  <si>
    <t xml:space="preserve">Kunst &gt; Künstlerische Fotografie &gt; Fotogrammetrie</t>
  </si>
  <si>
    <t xml:space="preserve">Art &gt; Fine Art Photography &gt; Photogrammetry</t>
  </si>
  <si>
    <t xml:space="preserve">http://w3id.org/arkumu/project-categories#project-category-121</t>
  </si>
  <si>
    <t xml:space="preserve">Kunst &gt; Künstlerische Fotografie &gt; Fotoinstallation</t>
  </si>
  <si>
    <t xml:space="preserve">Art &gt; Fine Art Photography &gt; Photo Installation</t>
  </si>
  <si>
    <t xml:space="preserve">http://w3id.org/arkumu/project-categories#project-category-122</t>
  </si>
  <si>
    <t xml:space="preserve">Kunst &gt; Künstlerische Fotografie &gt; Inszenierte Fotografie</t>
  </si>
  <si>
    <t xml:space="preserve">Art &gt; Fine Art Photography &gt; Staged Photography</t>
  </si>
  <si>
    <t xml:space="preserve">http://w3id.org/arkumu/project-categories#project-category-123</t>
  </si>
  <si>
    <t xml:space="preserve">Conceptual Photography</t>
  </si>
  <si>
    <t xml:space="preserve">Konzeptuelle Fotografie</t>
  </si>
  <si>
    <t xml:space="preserve">Q5158441</t>
  </si>
  <si>
    <t xml:space="preserve">Kunst &gt; Künstlerische Fotografie &gt; Konzeptuelle Fotografie</t>
  </si>
  <si>
    <t xml:space="preserve">Art &gt; Fine Art Photography &gt; Conceptual Photography</t>
  </si>
  <si>
    <t xml:space="preserve">http://w3id.org/arkumu/project-categories#project-category-124</t>
  </si>
  <si>
    <t xml:space="preserve">Light Art</t>
  </si>
  <si>
    <t xml:space="preserve">Lichtkunst</t>
  </si>
  <si>
    <t xml:space="preserve">Q1421557</t>
  </si>
  <si>
    <t xml:space="preserve">4120673-3</t>
  </si>
  <si>
    <t xml:space="preserve">Kunst &gt; Lichtkunst</t>
  </si>
  <si>
    <t xml:space="preserve">Art &gt; Light Art</t>
  </si>
  <si>
    <t xml:space="preserve">http://w3id.org/arkumu/project-categories#project-category-125</t>
  </si>
  <si>
    <t xml:space="preserve">Holography</t>
  </si>
  <si>
    <t xml:space="preserve">Holografie</t>
  </si>
  <si>
    <t xml:space="preserve">Holografische Arbeit</t>
  </si>
  <si>
    <t xml:space="preserve">Q527628</t>
  </si>
  <si>
    <t xml:space="preserve">4025643-1</t>
  </si>
  <si>
    <t xml:space="preserve">Kunst &gt; Lichtkunst &gt; Holografie</t>
  </si>
  <si>
    <t xml:space="preserve">Art &gt; Light Art &gt; Holography</t>
  </si>
  <si>
    <t xml:space="preserve">http://w3id.org/arkumu/project-categories#project-category-126</t>
  </si>
  <si>
    <t xml:space="preserve">Kunst &gt; Lichtkunst &gt; Lichtinstallation</t>
  </si>
  <si>
    <t xml:space="preserve">Art &gt; Light Art &gt; Light Installation</t>
  </si>
  <si>
    <t xml:space="preserve">http://w3id.org/arkumu/project-categories#project-category-127</t>
  </si>
  <si>
    <t xml:space="preserve">Painting</t>
  </si>
  <si>
    <t xml:space="preserve">Malerei</t>
  </si>
  <si>
    <t xml:space="preserve">Q11629</t>
  </si>
  <si>
    <t xml:space="preserve">4037220-0</t>
  </si>
  <si>
    <t xml:space="preserve">Kunst &gt; Malerei</t>
  </si>
  <si>
    <t xml:space="preserve">Art &gt; Painting</t>
  </si>
  <si>
    <t xml:space="preserve">http://w3id.org/arkumu/project-categories#project-category-128</t>
  </si>
  <si>
    <t xml:space="preserve">Performance</t>
  </si>
  <si>
    <t xml:space="preserve">Aktionskunst,Handlung</t>
  </si>
  <si>
    <t xml:space="preserve">Q213156</t>
  </si>
  <si>
    <t xml:space="preserve">4173750-7</t>
  </si>
  <si>
    <t xml:space="preserve">Kunst &gt; Performance</t>
  </si>
  <si>
    <t xml:space="preserve">Art &gt; Performance</t>
  </si>
  <si>
    <t xml:space="preserve">http://w3id.org/arkumu/project-categories#project-category-129</t>
  </si>
  <si>
    <t xml:space="preserve">Action</t>
  </si>
  <si>
    <t xml:space="preserve">Aktion</t>
  </si>
  <si>
    <t xml:space="preserve">Q422635</t>
  </si>
  <si>
    <t xml:space="preserve">4141744-6</t>
  </si>
  <si>
    <t xml:space="preserve">Kunst &gt; Performance &gt; Aktion</t>
  </si>
  <si>
    <t xml:space="preserve">Art &gt; Performance &gt; Action</t>
  </si>
  <si>
    <t xml:space="preserve">http://w3id.org/arkumu/project-categories#project-category-130</t>
  </si>
  <si>
    <t xml:space="preserve">Durational Performance</t>
  </si>
  <si>
    <t xml:space="preserve">Durational Art,Endurance Art</t>
  </si>
  <si>
    <t xml:space="preserve">Q5376667</t>
  </si>
  <si>
    <t xml:space="preserve">Kunst &gt; Performance &gt; Durational Performance</t>
  </si>
  <si>
    <t xml:space="preserve">Art &gt; Performance &gt; Durational Performance</t>
  </si>
  <si>
    <t xml:space="preserve">http://w3id.org/arkumu/project-categories#project-category-131</t>
  </si>
  <si>
    <t xml:space="preserve">Happening</t>
  </si>
  <si>
    <t xml:space="preserve">Q108874</t>
  </si>
  <si>
    <t xml:space="preserve">4159095-8</t>
  </si>
  <si>
    <t xml:space="preserve">Kunst &gt; Performance &gt; Happening</t>
  </si>
  <si>
    <t xml:space="preserve">Art &gt; Performance &gt; Happening</t>
  </si>
  <si>
    <t xml:space="preserve">http://w3id.org/arkumu/project-categories#project-category-132</t>
  </si>
  <si>
    <t xml:space="preserve">Kunst &gt; Performance &gt; Intervention</t>
  </si>
  <si>
    <t xml:space="preserve">Art &gt; Performance &gt; Intervention</t>
  </si>
  <si>
    <t xml:space="preserve">http://w3id.org/arkumu/project-categories#project-category-133</t>
  </si>
  <si>
    <t xml:space="preserve">Lecture Performance</t>
  </si>
  <si>
    <t xml:space="preserve">Performance Lecture,Performance-Lecture</t>
  </si>
  <si>
    <t xml:space="preserve">Performance-Vortrag</t>
  </si>
  <si>
    <t xml:space="preserve">Vortragsperformance</t>
  </si>
  <si>
    <t xml:space="preserve">Q61862009</t>
  </si>
  <si>
    <t xml:space="preserve">7688836-8</t>
  </si>
  <si>
    <t xml:space="preserve">Kunst &gt; Performance &gt; Performance-Vortrag</t>
  </si>
  <si>
    <t xml:space="preserve">Art &gt; Performance &gt; Lecture Performance</t>
  </si>
  <si>
    <t xml:space="preserve">http://w3id.org/arkumu/project-categories#project-category-134</t>
  </si>
  <si>
    <t xml:space="preserve">Dance</t>
  </si>
  <si>
    <t xml:space="preserve">Tanz</t>
  </si>
  <si>
    <t xml:space="preserve">Q11639</t>
  </si>
  <si>
    <t xml:space="preserve">4059028-8</t>
  </si>
  <si>
    <t xml:space="preserve">Kunst &gt; Performance &gt; Tanz</t>
  </si>
  <si>
    <t xml:space="preserve">Art &gt; Performance &gt; Dance</t>
  </si>
  <si>
    <t xml:space="preserve">http://w3id.org/arkumu/project-categories#project-category-135</t>
  </si>
  <si>
    <t xml:space="preserve">Sculpture</t>
  </si>
  <si>
    <t xml:space="preserve">Skulptur</t>
  </si>
  <si>
    <t xml:space="preserve">Plastik,Bildhauerkunst,Bildhauerei,Objekt,Objektkunst</t>
  </si>
  <si>
    <t xml:space="preserve">Q860861</t>
  </si>
  <si>
    <t xml:space="preserve">4046277-8</t>
  </si>
  <si>
    <t xml:space="preserve">Kunst &gt; Skulptur</t>
  </si>
  <si>
    <t xml:space="preserve">Art &gt; Sculpture</t>
  </si>
  <si>
    <t xml:space="preserve">http://w3id.org/arkumu/project-categories#project-category-136</t>
  </si>
  <si>
    <t xml:space="preserve">Model</t>
  </si>
  <si>
    <t xml:space="preserve">Modell</t>
  </si>
  <si>
    <t xml:space="preserve">Maquette</t>
  </si>
  <si>
    <t xml:space="preserve">Q1979154</t>
  </si>
  <si>
    <t xml:space="preserve">4039798-1</t>
  </si>
  <si>
    <t xml:space="preserve">Kunst &gt; Skulptur &gt; Modell</t>
  </si>
  <si>
    <t xml:space="preserve">Art &gt; Sculpture &gt; Model</t>
  </si>
  <si>
    <t xml:space="preserve">http://w3id.org/arkumu/project-categories#project-category-137</t>
  </si>
  <si>
    <t xml:space="preserve">Found Object</t>
  </si>
  <si>
    <t xml:space="preserve">Ready-made</t>
  </si>
  <si>
    <t xml:space="preserve">Objekt,Objet Trouvé</t>
  </si>
  <si>
    <t xml:space="preserve">Q572916</t>
  </si>
  <si>
    <t xml:space="preserve">4177111-4</t>
  </si>
  <si>
    <t xml:space="preserve">Kunst &gt; Skulptur &gt; Ready-made</t>
  </si>
  <si>
    <t xml:space="preserve">Art &gt; Sculpture &gt; Found Object</t>
  </si>
  <si>
    <t xml:space="preserve">http://w3id.org/arkumu/project-categories#project-category-138</t>
  </si>
  <si>
    <t xml:space="preserve">Video Art</t>
  </si>
  <si>
    <t xml:space="preserve">Videokunst</t>
  </si>
  <si>
    <t xml:space="preserve">Q682010</t>
  </si>
  <si>
    <t xml:space="preserve">4188229-5</t>
  </si>
  <si>
    <t xml:space="preserve">Kunst &gt; Videokunst</t>
  </si>
  <si>
    <t xml:space="preserve">Art &gt; Video Art</t>
  </si>
  <si>
    <t xml:space="preserve">http://w3id.org/arkumu/project-categories#project-category-139</t>
  </si>
  <si>
    <t xml:space="preserve">Kunst &gt; Videokunst &gt; Expanded Cinema</t>
  </si>
  <si>
    <t xml:space="preserve">Art &gt; Video Art &gt; Expanded Cinema</t>
  </si>
  <si>
    <t xml:space="preserve">http://w3id.org/arkumu/project-categories#project-category-140</t>
  </si>
  <si>
    <t xml:space="preserve">Projection Mapping</t>
  </si>
  <si>
    <t xml:space="preserve">Projektionsmapping</t>
  </si>
  <si>
    <t xml:space="preserve">Videomapping</t>
  </si>
  <si>
    <t xml:space="preserve">Q776483</t>
  </si>
  <si>
    <t xml:space="preserve">Kunst &gt; Videokunst &gt; Projektionsmapping</t>
  </si>
  <si>
    <t xml:space="preserve">Art &gt; Video Art &gt; Projection Mapping</t>
  </si>
  <si>
    <t xml:space="preserve">http://w3id.org/arkumu/project-categories#project-category-141</t>
  </si>
  <si>
    <t xml:space="preserve">Video Essay</t>
  </si>
  <si>
    <t xml:space="preserve">Video-Essay</t>
  </si>
  <si>
    <t xml:space="preserve">Q48773471</t>
  </si>
  <si>
    <t xml:space="preserve">Kunst &gt; Videokunst &gt; Video-Essay</t>
  </si>
  <si>
    <t xml:space="preserve">Art &gt; Video Art &gt; Video Essay</t>
  </si>
  <si>
    <t xml:space="preserve">http://w3id.org/arkumu/project-categories#project-category-142</t>
  </si>
  <si>
    <t xml:space="preserve">Kunst &gt; Videokunst &gt; Videoinstallation</t>
  </si>
  <si>
    <t xml:space="preserve">Art &gt; Video Art &gt; Video Installation</t>
  </si>
  <si>
    <t xml:space="preserve">http://w3id.org/arkumu/project-categories#project-category-143</t>
  </si>
  <si>
    <t xml:space="preserve">Video Performance</t>
  </si>
  <si>
    <t xml:space="preserve">Videoperformance</t>
  </si>
  <si>
    <t xml:space="preserve">Video-Performance</t>
  </si>
  <si>
    <t xml:space="preserve">Q115754536</t>
  </si>
  <si>
    <t xml:space="preserve">Kunst &gt; Videokunst &gt; Videoperformance</t>
  </si>
  <si>
    <t xml:space="preserve">Art &gt; Video Art &gt; Video Performance</t>
  </si>
  <si>
    <t xml:space="preserve">http://w3id.org/arkumu/project-categories#project-category-144</t>
  </si>
  <si>
    <t xml:space="preserve">Video Sculpture</t>
  </si>
  <si>
    <t xml:space="preserve">Videoskulptur</t>
  </si>
  <si>
    <t xml:space="preserve">Q7927987</t>
  </si>
  <si>
    <t xml:space="preserve">Kunst &gt; Videokunst &gt; Videoskulptur</t>
  </si>
  <si>
    <t xml:space="preserve">Art &gt; Video Art &gt; Video Sculpture</t>
  </si>
  <si>
    <t xml:space="preserve">http://w3id.org/arkumu/project-categories#project-category-145</t>
  </si>
  <si>
    <t xml:space="preserve">Kunst &gt; Videokunst &gt; Virtual Reality</t>
  </si>
  <si>
    <t xml:space="preserve">Art &gt; Video Art &gt; Virtual Reality</t>
  </si>
  <si>
    <t xml:space="preserve">http://w3id.org/arkumu/project-categories#project-category-146</t>
  </si>
  <si>
    <t xml:space="preserve">Drawing</t>
  </si>
  <si>
    <t xml:space="preserve">Zeichnung</t>
  </si>
  <si>
    <t xml:space="preserve">Q93184</t>
  </si>
  <si>
    <t xml:space="preserve">4127900-1</t>
  </si>
  <si>
    <t xml:space="preserve">Kunst &gt; Zeichnung</t>
  </si>
  <si>
    <t xml:space="preserve">Art &gt; Drawing</t>
  </si>
  <si>
    <t xml:space="preserve">http://w3id.org/arkumu/project-categories#project-category-147</t>
  </si>
  <si>
    <t xml:space="preserve">Collage</t>
  </si>
  <si>
    <t xml:space="preserve">Decollage,Fotomontage,Assemblage</t>
  </si>
  <si>
    <t xml:space="preserve">Q170593</t>
  </si>
  <si>
    <t xml:space="preserve">4010384-5</t>
  </si>
  <si>
    <t xml:space="preserve">Kunst &gt; Zeichnung &gt; Collage</t>
  </si>
  <si>
    <t xml:space="preserve">Art &gt; Drawing &gt; Collage</t>
  </si>
  <si>
    <t xml:space="preserve">http://w3id.org/arkumu/project-categories#project-category-148</t>
  </si>
  <si>
    <t xml:space="preserve">Comic</t>
  </si>
  <si>
    <t xml:space="preserve">Graphic Novel</t>
  </si>
  <si>
    <t xml:space="preserve">Q725377</t>
  </si>
  <si>
    <t xml:space="preserve">7658564-5</t>
  </si>
  <si>
    <t xml:space="preserve">Kunst &gt; Zeichnung &gt; Comic</t>
  </si>
  <si>
    <t xml:space="preserve">Art &gt; Drawing &gt; Comic</t>
  </si>
  <si>
    <t xml:space="preserve">http://w3id.org/arkumu/project-categories#project-category-149</t>
  </si>
  <si>
    <t xml:space="preserve">Printmaking</t>
  </si>
  <si>
    <t xml:space="preserve">Druckgrafik</t>
  </si>
  <si>
    <t xml:space="preserve">Grafik</t>
  </si>
  <si>
    <t xml:space="preserve">Q1027879</t>
  </si>
  <si>
    <t xml:space="preserve">4021845-4</t>
  </si>
  <si>
    <t xml:space="preserve">Kunst &gt; Zeichnung &gt; Druckgrafik</t>
  </si>
  <si>
    <t xml:space="preserve">Art &gt; Drawing &gt; Printmaking</t>
  </si>
  <si>
    <t xml:space="preserve">http://w3id.org/arkumu/project-categories#project-category-150</t>
  </si>
  <si>
    <t xml:space="preserve">Literature</t>
  </si>
  <si>
    <t xml:space="preserve">Literatur</t>
  </si>
  <si>
    <t xml:space="preserve">Q8242</t>
  </si>
  <si>
    <t xml:space="preserve">4035964-5</t>
  </si>
  <si>
    <t xml:space="preserve">http://w3id.org/arkumu/project-categories#project-category-151</t>
  </si>
  <si>
    <t xml:space="preserve">Drama</t>
  </si>
  <si>
    <t xml:space="preserve">Q25372</t>
  </si>
  <si>
    <t xml:space="preserve">4012899-4</t>
  </si>
  <si>
    <t xml:space="preserve">Literatur &gt; Drama</t>
  </si>
  <si>
    <t xml:space="preserve">Literature &gt; Drama</t>
  </si>
  <si>
    <t xml:space="preserve">http://w3id.org/arkumu/project-categories#project-category-152</t>
  </si>
  <si>
    <t xml:space="preserve">One-act Play</t>
  </si>
  <si>
    <t xml:space="preserve">Einakter</t>
  </si>
  <si>
    <t xml:space="preserve">Kurzdrama</t>
  </si>
  <si>
    <t xml:space="preserve">Q1194583</t>
  </si>
  <si>
    <t xml:space="preserve">4132520-5</t>
  </si>
  <si>
    <t xml:space="preserve">Literatur &gt; Drama &gt; Einakter</t>
  </si>
  <si>
    <t xml:space="preserve">Literature &gt; Drama &gt; One-act Play</t>
  </si>
  <si>
    <t xml:space="preserve">http://w3id.org/arkumu/project-categories#project-category-153</t>
  </si>
  <si>
    <t xml:space="preserve">Historical Play</t>
  </si>
  <si>
    <t xml:space="preserve">Historiendrama</t>
  </si>
  <si>
    <t xml:space="preserve">Q5774663</t>
  </si>
  <si>
    <t xml:space="preserve">4025133-0</t>
  </si>
  <si>
    <t xml:space="preserve">Literatur &gt; Drama &gt; Historiendrama</t>
  </si>
  <si>
    <t xml:space="preserve">Literature &gt; Drama &gt; Historical Play</t>
  </si>
  <si>
    <t xml:space="preserve">http://w3id.org/arkumu/project-categories#project-category-154</t>
  </si>
  <si>
    <t xml:space="preserve">Comedy</t>
  </si>
  <si>
    <t xml:space="preserve">Komödie</t>
  </si>
  <si>
    <t xml:space="preserve">Q40831</t>
  </si>
  <si>
    <t xml:space="preserve">4031952-0</t>
  </si>
  <si>
    <t xml:space="preserve">Literatur &gt; Drama &gt; Komödie</t>
  </si>
  <si>
    <t xml:space="preserve">Literature &gt; Drama &gt; Comedy</t>
  </si>
  <si>
    <t xml:space="preserve">http://w3id.org/arkumu/project-categories#project-category-155</t>
  </si>
  <si>
    <t xml:space="preserve">Libretto</t>
  </si>
  <si>
    <t xml:space="preserve">Q131084</t>
  </si>
  <si>
    <t xml:space="preserve">4035588-3</t>
  </si>
  <si>
    <t xml:space="preserve">Literatur &gt; Drama &gt; Libretto</t>
  </si>
  <si>
    <t xml:space="preserve">Literature &gt; Drama &gt; Libretto</t>
  </si>
  <si>
    <t xml:space="preserve">http://w3id.org/arkumu/project-categories#project-category-156</t>
  </si>
  <si>
    <t xml:space="preserve">Monodrama</t>
  </si>
  <si>
    <t xml:space="preserve">Einpersonenstück,Monodram</t>
  </si>
  <si>
    <t xml:space="preserve">Q221290</t>
  </si>
  <si>
    <t xml:space="preserve">4170462-9</t>
  </si>
  <si>
    <t xml:space="preserve">Literatur &gt; Drama &gt; Monodrama</t>
  </si>
  <si>
    <t xml:space="preserve">Literature &gt; Drama &gt; Monodrama</t>
  </si>
  <si>
    <t xml:space="preserve">http://w3id.org/arkumu/project-categories#project-category-157</t>
  </si>
  <si>
    <t xml:space="preserve">Morality Play</t>
  </si>
  <si>
    <t xml:space="preserve">Moralität</t>
  </si>
  <si>
    <t xml:space="preserve">Q929047</t>
  </si>
  <si>
    <t xml:space="preserve">4170539-7</t>
  </si>
  <si>
    <t xml:space="preserve">Literatur &gt; Drama &gt; Moralität</t>
  </si>
  <si>
    <t xml:space="preserve">Literature &gt; Drama &gt; Morality Play</t>
  </si>
  <si>
    <t xml:space="preserve">http://w3id.org/arkumu/project-categories#project-category-158</t>
  </si>
  <si>
    <t xml:space="preserve">Comedy of Manors</t>
  </si>
  <si>
    <t xml:space="preserve">Sittenstück</t>
  </si>
  <si>
    <t xml:space="preserve">Konversationsstück</t>
  </si>
  <si>
    <t xml:space="preserve">Q222926</t>
  </si>
  <si>
    <t xml:space="preserve">4268889-9</t>
  </si>
  <si>
    <t xml:space="preserve">Literatur &gt; Drama &gt; Sittenstück</t>
  </si>
  <si>
    <t xml:space="preserve">Literature &gt; Drama &gt; Comedy of Manors</t>
  </si>
  <si>
    <t xml:space="preserve">http://w3id.org/arkumu/project-categories#project-category-159</t>
  </si>
  <si>
    <t xml:space="preserve">Comedy Drama</t>
  </si>
  <si>
    <t xml:space="preserve">Dramedy</t>
  </si>
  <si>
    <t xml:space="preserve">Tragikomödie</t>
  </si>
  <si>
    <t xml:space="preserve">Q859369</t>
  </si>
  <si>
    <t xml:space="preserve">4185839-6</t>
  </si>
  <si>
    <t xml:space="preserve">Literatur &gt; Drama &gt; Tragikomödie</t>
  </si>
  <si>
    <t xml:space="preserve">Literature &gt; Drama &gt; Comedy Drama</t>
  </si>
  <si>
    <t xml:space="preserve">http://w3id.org/arkumu/project-categories#project-category-160</t>
  </si>
  <si>
    <t xml:space="preserve">Tragedy</t>
  </si>
  <si>
    <t xml:space="preserve">Tragödie</t>
  </si>
  <si>
    <t xml:space="preserve">Q80930</t>
  </si>
  <si>
    <t xml:space="preserve">4060591-7</t>
  </si>
  <si>
    <t xml:space="preserve">Literatur &gt; Drama &gt; Tragödie</t>
  </si>
  <si>
    <t xml:space="preserve">Literature &gt; Drama &gt; Tragedy</t>
  </si>
  <si>
    <t xml:space="preserve">http://w3id.org/arkumu/project-categories#project-category-161</t>
  </si>
  <si>
    <t xml:space="preserve">Verse Drama</t>
  </si>
  <si>
    <t xml:space="preserve">Versdrama</t>
  </si>
  <si>
    <t xml:space="preserve">Q1370860</t>
  </si>
  <si>
    <t xml:space="preserve">4187986-7</t>
  </si>
  <si>
    <t xml:space="preserve">Literatur &gt; Drama &gt; Versdrama</t>
  </si>
  <si>
    <t xml:space="preserve">Literature &gt; Drama &gt; Verse Drama</t>
  </si>
  <si>
    <t xml:space="preserve">http://w3id.org/arkumu/project-categories#project-category-162</t>
  </si>
  <si>
    <t xml:space="preserve">Literatur &gt; Drehbuch</t>
  </si>
  <si>
    <t xml:space="preserve">Literature &gt; Screenplay</t>
  </si>
  <si>
    <t xml:space="preserve">http://w3id.org/arkumu/project-categories#project-category-163</t>
  </si>
  <si>
    <t xml:space="preserve">Epic Literature</t>
  </si>
  <si>
    <t xml:space="preserve">Epik</t>
  </si>
  <si>
    <t xml:space="preserve">Epische Literatur</t>
  </si>
  <si>
    <t xml:space="preserve">Q1097273</t>
  </si>
  <si>
    <t xml:space="preserve">4015025-2</t>
  </si>
  <si>
    <t xml:space="preserve">Literatur &gt; Epik</t>
  </si>
  <si>
    <t xml:space="preserve">Literature &gt; Epic Literature</t>
  </si>
  <si>
    <t xml:space="preserve">http://w3id.org/arkumu/project-categories#project-category-164</t>
  </si>
  <si>
    <t xml:space="preserve">Narrative Story</t>
  </si>
  <si>
    <t xml:space="preserve">Erzählung</t>
  </si>
  <si>
    <t xml:space="preserve">Q27036528</t>
  </si>
  <si>
    <t xml:space="preserve">4015464-6</t>
  </si>
  <si>
    <t xml:space="preserve">Literatur &gt; Epik &gt; Erzählung</t>
  </si>
  <si>
    <t xml:space="preserve">Literature &gt; Epic Literature &gt; Narrative Story</t>
  </si>
  <si>
    <t xml:space="preserve">http://w3id.org/arkumu/project-categories#project-category-165</t>
  </si>
  <si>
    <t xml:space="preserve">Short Story</t>
  </si>
  <si>
    <t xml:space="preserve">Kurzgeschichte</t>
  </si>
  <si>
    <t xml:space="preserve">Q49084</t>
  </si>
  <si>
    <t xml:space="preserve">4033842-3</t>
  </si>
  <si>
    <t xml:space="preserve">Literatur &gt; Epik &gt; Kurzgeschichte</t>
  </si>
  <si>
    <t xml:space="preserve">Literature &gt; Epic Literature &gt; Short Story</t>
  </si>
  <si>
    <t xml:space="preserve">http://w3id.org/arkumu/project-categories#project-category-166</t>
  </si>
  <si>
    <t xml:space="preserve">Fairy Tale</t>
  </si>
  <si>
    <t xml:space="preserve">Märchen</t>
  </si>
  <si>
    <t xml:space="preserve">Q699</t>
  </si>
  <si>
    <t xml:space="preserve">4036910-9</t>
  </si>
  <si>
    <t xml:space="preserve">Literatur &gt; Epik &gt; Märchen</t>
  </si>
  <si>
    <t xml:space="preserve">Literature &gt; Epic Literature &gt; Fairy Tale</t>
  </si>
  <si>
    <t xml:space="preserve">http://w3id.org/arkumu/project-categories#project-category-167</t>
  </si>
  <si>
    <t xml:space="preserve">Novella</t>
  </si>
  <si>
    <t xml:space="preserve">Novelle</t>
  </si>
  <si>
    <t xml:space="preserve">Q149537</t>
  </si>
  <si>
    <t xml:space="preserve">4042706-7</t>
  </si>
  <si>
    <t xml:space="preserve">Literatur &gt; Epik &gt; Novelle</t>
  </si>
  <si>
    <t xml:space="preserve">Literature &gt; Epic Literature &gt; Novella</t>
  </si>
  <si>
    <t xml:space="preserve">http://w3id.org/arkumu/project-categories#project-category-168</t>
  </si>
  <si>
    <t xml:space="preserve">Parable</t>
  </si>
  <si>
    <t xml:space="preserve">Parabel</t>
  </si>
  <si>
    <t xml:space="preserve">Q208555</t>
  </si>
  <si>
    <t xml:space="preserve">4075855-2</t>
  </si>
  <si>
    <t xml:space="preserve">Literatur &gt; Epik &gt; Parabel</t>
  </si>
  <si>
    <t xml:space="preserve">Literature &gt; Epic Literature &gt; Parable</t>
  </si>
  <si>
    <t xml:space="preserve">http://w3id.org/arkumu/project-categories#project-category-169</t>
  </si>
  <si>
    <t xml:space="preserve">Literatur &gt; Epik &gt; Reportage</t>
  </si>
  <si>
    <t xml:space="preserve">Literature &gt; Epic Literature &gt; Reportage</t>
  </si>
  <si>
    <t xml:space="preserve">http://w3id.org/arkumu/project-categories#project-category-170</t>
  </si>
  <si>
    <t xml:space="preserve">Novel</t>
  </si>
  <si>
    <t xml:space="preserve">Roman</t>
  </si>
  <si>
    <t xml:space="preserve">Q8261</t>
  </si>
  <si>
    <t xml:space="preserve">4050479-7</t>
  </si>
  <si>
    <t xml:space="preserve">Literatur &gt; Epik &gt; Roman</t>
  </si>
  <si>
    <t xml:space="preserve">Literature &gt; Epic Literature &gt; Novel</t>
  </si>
  <si>
    <t xml:space="preserve">http://w3id.org/arkumu/project-categories#project-category-171</t>
  </si>
  <si>
    <t xml:space="preserve">Satire</t>
  </si>
  <si>
    <t xml:space="preserve">Q128758</t>
  </si>
  <si>
    <t xml:space="preserve">4051752-4</t>
  </si>
  <si>
    <t xml:space="preserve">Literatur &gt; Epik &gt; Satire</t>
  </si>
  <si>
    <t xml:space="preserve">Literature &gt; Epic Literature &gt; Satire</t>
  </si>
  <si>
    <t xml:space="preserve">http://w3id.org/arkumu/project-categories#project-category-172</t>
  </si>
  <si>
    <t xml:space="preserve">Literary Reading</t>
  </si>
  <si>
    <t xml:space="preserve">Literaturlesung</t>
  </si>
  <si>
    <t xml:space="preserve">Autorenlesung</t>
  </si>
  <si>
    <t xml:space="preserve">Q106499608</t>
  </si>
  <si>
    <t xml:space="preserve">Literatur &gt; Literaturlesung</t>
  </si>
  <si>
    <t xml:space="preserve">Literature &gt; Literary Reading</t>
  </si>
  <si>
    <t xml:space="preserve">http://w3id.org/arkumu/project-categories#project-category-173</t>
  </si>
  <si>
    <t xml:space="preserve">Poetry</t>
  </si>
  <si>
    <t xml:space="preserve">Lyrik</t>
  </si>
  <si>
    <t xml:space="preserve">Poesie</t>
  </si>
  <si>
    <t xml:space="preserve">Q482</t>
  </si>
  <si>
    <t xml:space="preserve">4036774-5</t>
  </si>
  <si>
    <t xml:space="preserve">Literatur &gt; Lyrik</t>
  </si>
  <si>
    <t xml:space="preserve">Literature &gt; Poetry</t>
  </si>
  <si>
    <t xml:space="preserve">http://w3id.org/arkumu/project-categories#project-category-174</t>
  </si>
  <si>
    <t xml:space="preserve">Acrostic</t>
  </si>
  <si>
    <t xml:space="preserve">Akrostichon</t>
  </si>
  <si>
    <t xml:space="preserve">Q173287</t>
  </si>
  <si>
    <t xml:space="preserve">4195703-9</t>
  </si>
  <si>
    <t xml:space="preserve">Literatur &gt; Lyrik &gt; Akrostichon</t>
  </si>
  <si>
    <t xml:space="preserve">Literature &gt; Poetry &gt; Acrostic</t>
  </si>
  <si>
    <t xml:space="preserve">http://w3id.org/arkumu/project-categories#project-category-175</t>
  </si>
  <si>
    <t xml:space="preserve">Ballad</t>
  </si>
  <si>
    <t xml:space="preserve">Ballade</t>
  </si>
  <si>
    <t xml:space="preserve">Q182659</t>
  </si>
  <si>
    <t xml:space="preserve">4004343-5</t>
  </si>
  <si>
    <t xml:space="preserve">Literatur &gt; Lyrik &gt; Ballade</t>
  </si>
  <si>
    <t xml:space="preserve">Literature &gt; Poetry &gt; Ballad</t>
  </si>
  <si>
    <t xml:space="preserve">http://w3id.org/arkumu/project-categories#project-category-176</t>
  </si>
  <si>
    <t xml:space="preserve">Elegy</t>
  </si>
  <si>
    <t xml:space="preserve">Elegie</t>
  </si>
  <si>
    <t xml:space="preserve">Q174864</t>
  </si>
  <si>
    <t xml:space="preserve">4151713-1</t>
  </si>
  <si>
    <t xml:space="preserve">Literatur &gt; Lyrik &gt; Elegie</t>
  </si>
  <si>
    <t xml:space="preserve">Literature &gt; Poetry &gt; Elegy</t>
  </si>
  <si>
    <t xml:space="preserve">http://w3id.org/arkumu/project-categories#project-category-177</t>
  </si>
  <si>
    <t xml:space="preserve">Epigram</t>
  </si>
  <si>
    <t xml:space="preserve">Epigramm</t>
  </si>
  <si>
    <t xml:space="preserve">Q193121</t>
  </si>
  <si>
    <t xml:space="preserve">4152507-3</t>
  </si>
  <si>
    <t xml:space="preserve">Literatur &gt; Lyrik &gt; Epigramm</t>
  </si>
  <si>
    <t xml:space="preserve">Literature &gt; Poetry &gt; Epigram</t>
  </si>
  <si>
    <t xml:space="preserve">http://w3id.org/arkumu/project-categories#project-category-178</t>
  </si>
  <si>
    <t xml:space="preserve">Poem</t>
  </si>
  <si>
    <t xml:space="preserve">Gedicht</t>
  </si>
  <si>
    <t xml:space="preserve">Q5185279</t>
  </si>
  <si>
    <t xml:space="preserve">Literatur &gt; Lyrik &gt; Gedicht</t>
  </si>
  <si>
    <t xml:space="preserve">Literature &gt; Poetry &gt; Poem</t>
  </si>
  <si>
    <t xml:space="preserve">http://w3id.org/arkumu/project-categories#project-category-179</t>
  </si>
  <si>
    <t xml:space="preserve">Poetry Collection</t>
  </si>
  <si>
    <t xml:space="preserve">Gedichtsammlung</t>
  </si>
  <si>
    <t xml:space="preserve">Q12106333</t>
  </si>
  <si>
    <t xml:space="preserve">Literatur &gt; Lyrik &gt; Gedichtsammlung</t>
  </si>
  <si>
    <t xml:space="preserve">Literature &gt; Poetry &gt; Poetry Collection</t>
  </si>
  <si>
    <t xml:space="preserve">http://w3id.org/arkumu/project-categories#project-category-180</t>
  </si>
  <si>
    <t xml:space="preserve">Haiku</t>
  </si>
  <si>
    <t xml:space="preserve">Q37707</t>
  </si>
  <si>
    <t xml:space="preserve">4022963-4</t>
  </si>
  <si>
    <t xml:space="preserve">Literatur &gt; Lyrik &gt; Haiku</t>
  </si>
  <si>
    <t xml:space="preserve">Literature &gt; Poetry &gt; Haiku</t>
  </si>
  <si>
    <t xml:space="preserve">http://w3id.org/arkumu/project-categories#project-category-181</t>
  </si>
  <si>
    <t xml:space="preserve">Hymn</t>
  </si>
  <si>
    <t xml:space="preserve">Hymne</t>
  </si>
  <si>
    <t xml:space="preserve">Q484692</t>
  </si>
  <si>
    <t xml:space="preserve">4125676-1</t>
  </si>
  <si>
    <t xml:space="preserve">Literatur &gt; Lyrik &gt; Hymne</t>
  </si>
  <si>
    <t xml:space="preserve">Literature &gt; Poetry &gt; Hymn</t>
  </si>
  <si>
    <t xml:space="preserve">http://w3id.org/arkumu/project-categories#project-category-182</t>
  </si>
  <si>
    <t xml:space="preserve">Concrete Poetry</t>
  </si>
  <si>
    <t xml:space="preserve">Konkrete Poesie</t>
  </si>
  <si>
    <t xml:space="preserve">Q596594</t>
  </si>
  <si>
    <t xml:space="preserve">4073689-1</t>
  </si>
  <si>
    <t xml:space="preserve">Literatur &gt; Lyrik &gt; Konkrete Poesie</t>
  </si>
  <si>
    <t xml:space="preserve">Literature &gt; Poetry &gt; Concrete Poetry</t>
  </si>
  <si>
    <t xml:space="preserve">http://w3id.org/arkumu/project-categories#project-category-183</t>
  </si>
  <si>
    <t xml:space="preserve">Sound Poetry</t>
  </si>
  <si>
    <t xml:space="preserve">Lautgedicht</t>
  </si>
  <si>
    <t xml:space="preserve">Q1808721</t>
  </si>
  <si>
    <t xml:space="preserve">4166943-5</t>
  </si>
  <si>
    <t xml:space="preserve">Literatur &gt; Lyrik &gt; Lautgedicht</t>
  </si>
  <si>
    <t xml:space="preserve">Literature &gt; Poetry &gt; Sound Poetry</t>
  </si>
  <si>
    <t xml:space="preserve">http://w3id.org/arkumu/project-categories#project-category-184</t>
  </si>
  <si>
    <t xml:space="preserve">Limerick</t>
  </si>
  <si>
    <t xml:space="preserve">Q204698</t>
  </si>
  <si>
    <t xml:space="preserve">4167675-0</t>
  </si>
  <si>
    <t xml:space="preserve">Literatur &gt; Lyrik &gt; Limerick</t>
  </si>
  <si>
    <t xml:space="preserve">Literature &gt; Poetry &gt; Limerick</t>
  </si>
  <si>
    <t xml:space="preserve">http://w3id.org/arkumu/project-categories#project-category-185</t>
  </si>
  <si>
    <t xml:space="preserve">Song Lyrics</t>
  </si>
  <si>
    <t xml:space="preserve">Songtext</t>
  </si>
  <si>
    <t xml:space="preserve">Q602446</t>
  </si>
  <si>
    <t xml:space="preserve">Literatur &gt; Lyrik &gt; Songtext</t>
  </si>
  <si>
    <t xml:space="preserve">Literature &gt; Poetry &gt; Song Lyrics</t>
  </si>
  <si>
    <t xml:space="preserve">http://w3id.org/arkumu/project-categories#project-category-186</t>
  </si>
  <si>
    <t xml:space="preserve">Reference Work</t>
  </si>
  <si>
    <t xml:space="preserve">Reference Book</t>
  </si>
  <si>
    <t xml:space="preserve">Nachschlagewerk</t>
  </si>
  <si>
    <t xml:space="preserve">Q13136</t>
  </si>
  <si>
    <t xml:space="preserve">4041070-5</t>
  </si>
  <si>
    <t xml:space="preserve">Literatur &gt; Nachschlagewerk</t>
  </si>
  <si>
    <t xml:space="preserve">Literature &gt; Reference Work</t>
  </si>
  <si>
    <t xml:space="preserve">http://w3id.org/arkumu/project-categories#project-category-187</t>
  </si>
  <si>
    <t xml:space="preserve">Non-fictional Literature</t>
  </si>
  <si>
    <t xml:space="preserve">Nichtfiktionale Literatur</t>
  </si>
  <si>
    <t xml:space="preserve">Q213051</t>
  </si>
  <si>
    <t xml:space="preserve">Literatur &gt; Nichtfiktionale Literatur</t>
  </si>
  <si>
    <t xml:space="preserve">Literature &gt; Non-fictional Literature</t>
  </si>
  <si>
    <t xml:space="preserve">http://w3id.org/arkumu/project-categories#project-category-188</t>
  </si>
  <si>
    <t xml:space="preserve">Autobiography</t>
  </si>
  <si>
    <t xml:space="preserve">Autobiografie</t>
  </si>
  <si>
    <t xml:space="preserve">Q4184</t>
  </si>
  <si>
    <t xml:space="preserve">4003939-0</t>
  </si>
  <si>
    <t xml:space="preserve">Literatur &gt; Nichtfiktionale Literatur &gt; Autobiografie</t>
  </si>
  <si>
    <t xml:space="preserve">Literature &gt; Non-fictional Literature &gt; Autobiography</t>
  </si>
  <si>
    <t xml:space="preserve">http://w3id.org/arkumu/project-categories#project-category-189</t>
  </si>
  <si>
    <t xml:space="preserve">Biography</t>
  </si>
  <si>
    <t xml:space="preserve">Biografie</t>
  </si>
  <si>
    <t xml:space="preserve">Q36279</t>
  </si>
  <si>
    <t xml:space="preserve">4006804-3</t>
  </si>
  <si>
    <t xml:space="preserve">Literatur &gt; Nichtfiktionale Literatur &gt; Biografie</t>
  </si>
  <si>
    <t xml:space="preserve">Literature &gt; Non-fictional Literature &gt; Biography</t>
  </si>
  <si>
    <t xml:space="preserve">http://w3id.org/arkumu/project-categories#project-category-190</t>
  </si>
  <si>
    <t xml:space="preserve">Blog</t>
  </si>
  <si>
    <t xml:space="preserve">Q30849</t>
  </si>
  <si>
    <t xml:space="preserve">4678688-0</t>
  </si>
  <si>
    <t xml:space="preserve">Literatur &gt; Nichtfiktionale Literatur &gt; Blog</t>
  </si>
  <si>
    <t xml:space="preserve">Literature &gt; Non-fictional Literature &gt; Blog</t>
  </si>
  <si>
    <t xml:space="preserve">http://w3id.org/arkumu/project-categories#project-category-191</t>
  </si>
  <si>
    <t xml:space="preserve">Essay</t>
  </si>
  <si>
    <t xml:space="preserve">Q35760</t>
  </si>
  <si>
    <t xml:space="preserve">4015553-5</t>
  </si>
  <si>
    <t xml:space="preserve">Literatur &gt; Nichtfiktionale Literatur &gt; Essay</t>
  </si>
  <si>
    <t xml:space="preserve">Literature &gt; Non-fictional Literature &gt; Essay</t>
  </si>
  <si>
    <t xml:space="preserve">http://w3id.org/arkumu/project-categories#project-category-192</t>
  </si>
  <si>
    <t xml:space="preserve">Manifesto</t>
  </si>
  <si>
    <t xml:space="preserve">Manifest</t>
  </si>
  <si>
    <t xml:space="preserve">Q46337</t>
  </si>
  <si>
    <t xml:space="preserve">4205648-2</t>
  </si>
  <si>
    <t xml:space="preserve">Literatur &gt; Nichtfiktionale Literatur &gt; Manifest</t>
  </si>
  <si>
    <t xml:space="preserve">Literature &gt; Non-fictional Literature &gt; Manifesto</t>
  </si>
  <si>
    <t xml:space="preserve">http://w3id.org/arkumu/project-categories#project-category-193</t>
  </si>
  <si>
    <t xml:space="preserve">Memoir</t>
  </si>
  <si>
    <t xml:space="preserve">Q112983</t>
  </si>
  <si>
    <t xml:space="preserve">Literatur &gt; Nichtfiktionale Literatur &gt; Memoir</t>
  </si>
  <si>
    <t xml:space="preserve">Literature &gt; Non-fictional Literature &gt; Memoir</t>
  </si>
  <si>
    <t xml:space="preserve">http://w3id.org/arkumu/project-categories#project-category-194</t>
  </si>
  <si>
    <t xml:space="preserve">Self-help Book</t>
  </si>
  <si>
    <t xml:space="preserve">Ratgeber</t>
  </si>
  <si>
    <t xml:space="preserve">Selbsthilfeliteratur</t>
  </si>
  <si>
    <t xml:space="preserve">Q3739522</t>
  </si>
  <si>
    <t xml:space="preserve">4048476-2</t>
  </si>
  <si>
    <t xml:space="preserve">Literatur &gt; Nichtfiktionale Literatur &gt; Ratgeber</t>
  </si>
  <si>
    <t xml:space="preserve">Literature &gt; Non-fictional Literature &gt; Self-help Book</t>
  </si>
  <si>
    <t xml:space="preserve">http://w3id.org/arkumu/project-categories#project-category-195</t>
  </si>
  <si>
    <t xml:space="preserve">Non-fiction Book</t>
  </si>
  <si>
    <t xml:space="preserve">Sachbuch</t>
  </si>
  <si>
    <t xml:space="preserve">Q20540385</t>
  </si>
  <si>
    <t xml:space="preserve">4129720-9</t>
  </si>
  <si>
    <t xml:space="preserve">Literatur &gt; Nichtfiktionale Literatur &gt; Sachbuch</t>
  </si>
  <si>
    <t xml:space="preserve">Literature &gt; Non-fictional Literature &gt; Non-fiction Book</t>
  </si>
  <si>
    <t xml:space="preserve">http://w3id.org/arkumu/project-categories#project-category-196</t>
  </si>
  <si>
    <t xml:space="preserve">Non-fiction Novel</t>
  </si>
  <si>
    <t xml:space="preserve">Tatsachenroman</t>
  </si>
  <si>
    <t xml:space="preserve">Q1325447</t>
  </si>
  <si>
    <t xml:space="preserve">Literatur &gt; Nichtfiktionale Literatur &gt; Tatsachenroman</t>
  </si>
  <si>
    <t xml:space="preserve">Literature &gt; Non-fictional Literature &gt; Non-fiction Novel</t>
  </si>
  <si>
    <t xml:space="preserve">http://w3id.org/arkumu/project-categories#project-category-197</t>
  </si>
  <si>
    <t xml:space="preserve">Music</t>
  </si>
  <si>
    <t xml:space="preserve">Musik</t>
  </si>
  <si>
    <t xml:space="preserve">Q638</t>
  </si>
  <si>
    <t xml:space="preserve">4040802-4</t>
  </si>
  <si>
    <t xml:space="preserve">http://w3id.org/arkumu/project-categories#project-category-198</t>
  </si>
  <si>
    <t xml:space="preserve">Non-european Art Music</t>
  </si>
  <si>
    <t xml:space="preserve">Außereuropäische Kunstmusik</t>
  </si>
  <si>
    <t xml:space="preserve">Q123561622</t>
  </si>
  <si>
    <t xml:space="preserve">Musik &gt; Außereuropäische Kunstmusik</t>
  </si>
  <si>
    <t xml:space="preserve">Music &gt; Non-european Art Music</t>
  </si>
  <si>
    <t xml:space="preserve">http://w3id.org/arkumu/project-categories#project-category-199</t>
  </si>
  <si>
    <t xml:space="preserve">Stage Music</t>
  </si>
  <si>
    <t xml:space="preserve">Bühnenmusik</t>
  </si>
  <si>
    <t xml:space="preserve">Q1020611</t>
  </si>
  <si>
    <t xml:space="preserve">4146861-2</t>
  </si>
  <si>
    <t xml:space="preserve">Musik &gt; Bühnenmusik</t>
  </si>
  <si>
    <t xml:space="preserve">Music &gt; Stage Music</t>
  </si>
  <si>
    <t xml:space="preserve">http://w3id.org/arkumu/project-categories#project-category-200</t>
  </si>
  <si>
    <t xml:space="preserve">Electroacoustic Music</t>
  </si>
  <si>
    <t xml:space="preserve">Elektroakustische Musik</t>
  </si>
  <si>
    <t xml:space="preserve">Q1326777</t>
  </si>
  <si>
    <t xml:space="preserve">4014355-7</t>
  </si>
  <si>
    <t xml:space="preserve">Musik &gt; Elektroakustische Musik</t>
  </si>
  <si>
    <t xml:space="preserve">Music &gt; Electroacoustic Music</t>
  </si>
  <si>
    <t xml:space="preserve">http://w3id.org/arkumu/project-categories#project-category-201</t>
  </si>
  <si>
    <t xml:space="preserve">Electronic Music</t>
  </si>
  <si>
    <t xml:space="preserve">Elektronische Musik</t>
  </si>
  <si>
    <t xml:space="preserve">Q9778</t>
  </si>
  <si>
    <t xml:space="preserve">Musik &gt; Elektronische Musik</t>
  </si>
  <si>
    <t xml:space="preserve">Music &gt; Electronic Music</t>
  </si>
  <si>
    <t xml:space="preserve">http://w3id.org/arkumu/project-categories#project-category-202</t>
  </si>
  <si>
    <t xml:space="preserve">Ensemble Music</t>
  </si>
  <si>
    <t xml:space="preserve">Ensemblemusik</t>
  </si>
  <si>
    <t xml:space="preserve">Q123561525</t>
  </si>
  <si>
    <t xml:space="preserve">4398225-6</t>
  </si>
  <si>
    <t xml:space="preserve">Musik &gt; Ensemblemusik</t>
  </si>
  <si>
    <t xml:space="preserve">Music &gt; Ensemble Music</t>
  </si>
  <si>
    <t xml:space="preserve">http://w3id.org/arkumu/project-categories#project-category-203</t>
  </si>
  <si>
    <t xml:space="preserve">Folklore</t>
  </si>
  <si>
    <t xml:space="preserve">Volksmusik</t>
  </si>
  <si>
    <t xml:space="preserve">Q235858</t>
  </si>
  <si>
    <t xml:space="preserve">4063854-6</t>
  </si>
  <si>
    <t xml:space="preserve">Musik &gt; Folklore</t>
  </si>
  <si>
    <t xml:space="preserve">Music &gt; Folklore</t>
  </si>
  <si>
    <t xml:space="preserve">http://w3id.org/arkumu/project-categories#project-category-204</t>
  </si>
  <si>
    <t xml:space="preserve">Sacred Music</t>
  </si>
  <si>
    <t xml:space="preserve">Geistliche Musik</t>
  </si>
  <si>
    <t xml:space="preserve">Kirchenmusik,sakrale Musik,Sakralmusik,religiöse Musik,Religious Music</t>
  </si>
  <si>
    <t xml:space="preserve">Q1065742</t>
  </si>
  <si>
    <t xml:space="preserve">4126228-1</t>
  </si>
  <si>
    <t xml:space="preserve">Musik &gt; Geistliche Musik</t>
  </si>
  <si>
    <t xml:space="preserve">Music &gt; Sacred Music</t>
  </si>
  <si>
    <t xml:space="preserve">http://w3id.org/arkumu/project-categories#project-category-205</t>
  </si>
  <si>
    <t xml:space="preserve">Instrumental Music</t>
  </si>
  <si>
    <t xml:space="preserve">Instrumentalmusik</t>
  </si>
  <si>
    <t xml:space="preserve">Q639197</t>
  </si>
  <si>
    <t xml:space="preserve">4129951-6</t>
  </si>
  <si>
    <t xml:space="preserve">Musik &gt; Instrumentalmusik</t>
  </si>
  <si>
    <t xml:space="preserve">Music &gt; Instrumental Music</t>
  </si>
  <si>
    <t xml:space="preserve">http://w3id.org/arkumu/project-categories#project-category-206</t>
  </si>
  <si>
    <t xml:space="preserve">Jazz</t>
  </si>
  <si>
    <t xml:space="preserve">Jazzmusik</t>
  </si>
  <si>
    <t xml:space="preserve">Q8341</t>
  </si>
  <si>
    <t xml:space="preserve">4028532-7</t>
  </si>
  <si>
    <t xml:space="preserve">Musik &gt; Jazz</t>
  </si>
  <si>
    <t xml:space="preserve">Music &gt; Jazz</t>
  </si>
  <si>
    <t xml:space="preserve">http://w3id.org/arkumu/project-categories#project-category-207</t>
  </si>
  <si>
    <t xml:space="preserve">Acid Jazz</t>
  </si>
  <si>
    <t xml:space="preserve">Dancefloor Jazz,Club Jazz</t>
  </si>
  <si>
    <t xml:space="preserve">Q221772</t>
  </si>
  <si>
    <t xml:space="preserve">4363822-3</t>
  </si>
  <si>
    <t xml:space="preserve">Musik &gt; Jazz &gt; Acid Jazz</t>
  </si>
  <si>
    <t xml:space="preserve">Music &gt; Jazz &gt; Acid Jazz</t>
  </si>
  <si>
    <t xml:space="preserve">http://w3id.org/arkumu/project-categories#project-category-208</t>
  </si>
  <si>
    <t xml:space="preserve">Afro-Cuban Jazz</t>
  </si>
  <si>
    <t xml:space="preserve">Q3163340</t>
  </si>
  <si>
    <t xml:space="preserve">4363925-2</t>
  </si>
  <si>
    <t xml:space="preserve">Musik &gt; Jazz &gt; Afro-Cuban Jazz</t>
  </si>
  <si>
    <t xml:space="preserve">Music &gt; Jazz &gt; Afro-Cuban Jazz</t>
  </si>
  <si>
    <t xml:space="preserve">http://w3id.org/arkumu/project-categories#project-category-209</t>
  </si>
  <si>
    <t xml:space="preserve">Avantgarde Jazz</t>
  </si>
  <si>
    <t xml:space="preserve">Avantgarde-Jazz</t>
  </si>
  <si>
    <t xml:space="preserve">Q790188</t>
  </si>
  <si>
    <t xml:space="preserve">Musik &gt; Jazz &gt; Avantgarde-Jazz</t>
  </si>
  <si>
    <t xml:space="preserve">Music &gt; Jazz &gt; Avantgarde Jazz</t>
  </si>
  <si>
    <t xml:space="preserve">http://w3id.org/arkumu/project-categories#project-category-210</t>
  </si>
  <si>
    <t xml:space="preserve">Bebop</t>
  </si>
  <si>
    <t xml:space="preserve">Q105513</t>
  </si>
  <si>
    <t xml:space="preserve">4144242-8</t>
  </si>
  <si>
    <t xml:space="preserve">Musik &gt; Jazz &gt; Bebop</t>
  </si>
  <si>
    <t xml:space="preserve">Music &gt; Jazz &gt; Bebop</t>
  </si>
  <si>
    <t xml:space="preserve">http://w3id.org/arkumu/project-categories#project-category-211</t>
  </si>
  <si>
    <t xml:space="preserve">Big Band Music</t>
  </si>
  <si>
    <t xml:space="preserve">Big Band</t>
  </si>
  <si>
    <t xml:space="preserve">Q105756581</t>
  </si>
  <si>
    <t xml:space="preserve">Musik &gt; Jazz &gt; Big Band</t>
  </si>
  <si>
    <t xml:space="preserve">Music &gt; Jazz &gt; Big Band Music</t>
  </si>
  <si>
    <t xml:space="preserve">http://w3id.org/arkumu/project-categories#project-category-212</t>
  </si>
  <si>
    <t xml:space="preserve">Boogie-Woogie</t>
  </si>
  <si>
    <t xml:space="preserve">Q212952</t>
  </si>
  <si>
    <t xml:space="preserve">4241046-0</t>
  </si>
  <si>
    <t xml:space="preserve">Musik &gt; Jazz &gt; Boogie-Woogie</t>
  </si>
  <si>
    <t xml:space="preserve">Music &gt; Jazz &gt; Boogie-Woogie</t>
  </si>
  <si>
    <t xml:space="preserve">http://w3id.org/arkumu/project-categories#project-category-213</t>
  </si>
  <si>
    <t xml:space="preserve">Chicago Style</t>
  </si>
  <si>
    <t xml:space="preserve">Q352235</t>
  </si>
  <si>
    <t xml:space="preserve">Musik &gt; Jazz &gt; Chicago Style</t>
  </si>
  <si>
    <t xml:space="preserve">Music &gt; Jazz &gt; Chicago Style</t>
  </si>
  <si>
    <t xml:space="preserve">http://w3id.org/arkumu/project-categories#project-category-214</t>
  </si>
  <si>
    <t xml:space="preserve">Contemporary Jazz</t>
  </si>
  <si>
    <t xml:space="preserve">Q5928480</t>
  </si>
  <si>
    <t xml:space="preserve">Musik &gt; Jazz &gt; Contemporary Jazz</t>
  </si>
  <si>
    <t xml:space="preserve">Music &gt; Jazz &gt; Contemporary Jazz</t>
  </si>
  <si>
    <t xml:space="preserve">http://w3id.org/arkumu/project-categories#project-category-215</t>
  </si>
  <si>
    <t xml:space="preserve">Cool Jazz</t>
  </si>
  <si>
    <t xml:space="preserve">Q327547</t>
  </si>
  <si>
    <t xml:space="preserve">4148303-0</t>
  </si>
  <si>
    <t xml:space="preserve">Musik &gt; Jazz &gt; Cool Jazz</t>
  </si>
  <si>
    <t xml:space="preserve">Music &gt; Jazz &gt; Cool Jazz</t>
  </si>
  <si>
    <t xml:space="preserve">http://w3id.org/arkumu/project-categories#project-category-216</t>
  </si>
  <si>
    <t xml:space="preserve">Crossover Jazz</t>
  </si>
  <si>
    <t xml:space="preserve">Q846833</t>
  </si>
  <si>
    <t xml:space="preserve">Musik &gt; Jazz &gt; Crossover Jazz</t>
  </si>
  <si>
    <t xml:space="preserve">Music &gt; Jazz &gt; Crossover Jazz</t>
  </si>
  <si>
    <t xml:space="preserve">http://w3id.org/arkumu/project-categories#project-category-217</t>
  </si>
  <si>
    <t xml:space="preserve">Dixieland</t>
  </si>
  <si>
    <t xml:space="preserve">Q906647</t>
  </si>
  <si>
    <t xml:space="preserve">4150329-6</t>
  </si>
  <si>
    <t xml:space="preserve">Musik &gt; Jazz &gt; Dixieland</t>
  </si>
  <si>
    <t xml:space="preserve">Music &gt; Jazz &gt; Dixieland</t>
  </si>
  <si>
    <t xml:space="preserve">http://w3id.org/arkumu/project-categories#project-category-218</t>
  </si>
  <si>
    <t xml:space="preserve">East Coast Jazz</t>
  </si>
  <si>
    <t xml:space="preserve">East-Coast-Jazz</t>
  </si>
  <si>
    <t xml:space="preserve">Q11696000</t>
  </si>
  <si>
    <t xml:space="preserve">Musik &gt; Jazz &gt; East Coast Jazz</t>
  </si>
  <si>
    <t xml:space="preserve">Music &gt; Jazz &gt; East Coast Jazz</t>
  </si>
  <si>
    <t xml:space="preserve">http://w3id.org/arkumu/project-categories#project-category-219</t>
  </si>
  <si>
    <t xml:space="preserve">Ethno Jazz</t>
  </si>
  <si>
    <t xml:space="preserve">Ethnojazz</t>
  </si>
  <si>
    <t xml:space="preserve">Q1371364</t>
  </si>
  <si>
    <t xml:space="preserve">Musik &gt; Jazz &gt; Ethnojazz</t>
  </si>
  <si>
    <t xml:space="preserve">Music &gt; Jazz &gt; Ethno Jazz</t>
  </si>
  <si>
    <t xml:space="preserve">http://w3id.org/arkumu/project-categories#project-category-220</t>
  </si>
  <si>
    <t xml:space="preserve">Free Jazz</t>
  </si>
  <si>
    <t xml:space="preserve">Q211781</t>
  </si>
  <si>
    <t xml:space="preserve">4155265-9</t>
  </si>
  <si>
    <t xml:space="preserve">Musik &gt; Jazz &gt; Free Jazz</t>
  </si>
  <si>
    <t xml:space="preserve">Music &gt; Jazz &gt; Free Jazz</t>
  </si>
  <si>
    <t xml:space="preserve">http://w3id.org/arkumu/project-categories#project-category-221</t>
  </si>
  <si>
    <t xml:space="preserve">Hard Bop</t>
  </si>
  <si>
    <t xml:space="preserve">Hardbop</t>
  </si>
  <si>
    <t xml:space="preserve">Q181010</t>
  </si>
  <si>
    <t xml:space="preserve">4299339-8</t>
  </si>
  <si>
    <t xml:space="preserve">Musik &gt; Jazz &gt; Hard Bop</t>
  </si>
  <si>
    <t xml:space="preserve">Music &gt; Jazz &gt; Hard Bop</t>
  </si>
  <si>
    <t xml:space="preserve">http://w3id.org/arkumu/project-categories#project-category-222</t>
  </si>
  <si>
    <t xml:space="preserve">Jazz Fusion</t>
  </si>
  <si>
    <t xml:space="preserve">Q105527</t>
  </si>
  <si>
    <t xml:space="preserve">Musik &gt; Jazz &gt; Jazz Fusion</t>
  </si>
  <si>
    <t xml:space="preserve">Music &gt; Jazz &gt; Jazz Fusion</t>
  </si>
  <si>
    <t xml:space="preserve">http://w3id.org/arkumu/project-categories#project-category-223</t>
  </si>
  <si>
    <t xml:space="preserve">New Orleans Jazz</t>
  </si>
  <si>
    <t xml:space="preserve">New-Orleans-Jazz</t>
  </si>
  <si>
    <t xml:space="preserve">Q1982426</t>
  </si>
  <si>
    <t xml:space="preserve">4171691-7</t>
  </si>
  <si>
    <t xml:space="preserve">Musik &gt; Jazz &gt; New Orleans Jazz</t>
  </si>
  <si>
    <t xml:space="preserve">Music &gt; Jazz &gt; New Orleans Jazz</t>
  </si>
  <si>
    <t xml:space="preserve">http://w3id.org/arkumu/project-categories#project-category-224</t>
  </si>
  <si>
    <t xml:space="preserve">Progressive Jazz</t>
  </si>
  <si>
    <t xml:space="preserve">Q105627377</t>
  </si>
  <si>
    <t xml:space="preserve">Musik &gt; Jazz &gt; Progressive Jazz</t>
  </si>
  <si>
    <t xml:space="preserve">Music &gt; Jazz &gt; Progressive Jazz</t>
  </si>
  <si>
    <t xml:space="preserve">http://w3id.org/arkumu/project-categories#project-category-225</t>
  </si>
  <si>
    <t xml:space="preserve">Ragtime</t>
  </si>
  <si>
    <t xml:space="preserve">Q185652</t>
  </si>
  <si>
    <t xml:space="preserve">4176879-6</t>
  </si>
  <si>
    <t xml:space="preserve">Musik &gt; Jazz &gt; Ragtime</t>
  </si>
  <si>
    <t xml:space="preserve">Music &gt; Jazz &gt; Ragtime</t>
  </si>
  <si>
    <t xml:space="preserve">http://w3id.org/arkumu/project-categories#project-category-226</t>
  </si>
  <si>
    <t xml:space="preserve">Smooth Jazz</t>
  </si>
  <si>
    <t xml:space="preserve">Q831354</t>
  </si>
  <si>
    <t xml:space="preserve">Musik &gt; Jazz &gt; Smooth Jazz</t>
  </si>
  <si>
    <t xml:space="preserve">Music &gt; Jazz &gt; Smooth Jazz</t>
  </si>
  <si>
    <t xml:space="preserve">http://w3id.org/arkumu/project-categories#project-category-227</t>
  </si>
  <si>
    <t xml:space="preserve">Swing</t>
  </si>
  <si>
    <t xml:space="preserve">Q203775</t>
  </si>
  <si>
    <t xml:space="preserve">4153450-5</t>
  </si>
  <si>
    <t xml:space="preserve">Musik &gt; Jazz &gt; Swing</t>
  </si>
  <si>
    <t xml:space="preserve">Music &gt; Jazz &gt; Swing</t>
  </si>
  <si>
    <t xml:space="preserve">http://w3id.org/arkumu/project-categories#project-category-228</t>
  </si>
  <si>
    <t xml:space="preserve">West Coast Jazz</t>
  </si>
  <si>
    <t xml:space="preserve">West-Coast-Jazz</t>
  </si>
  <si>
    <t xml:space="preserve">Q1548603</t>
  </si>
  <si>
    <t xml:space="preserve">4304602-2</t>
  </si>
  <si>
    <t xml:space="preserve">Musik &gt; Jazz &gt; West Coast Jazz</t>
  </si>
  <si>
    <t xml:space="preserve">Music &gt; Jazz &gt; West Coast Jazz</t>
  </si>
  <si>
    <t xml:space="preserve">http://w3id.org/arkumu/project-categories#project-category-229</t>
  </si>
  <si>
    <t xml:space="preserve">Classical Music</t>
  </si>
  <si>
    <t xml:space="preserve">Klassische Musik</t>
  </si>
  <si>
    <t xml:space="preserve">Q9730</t>
  </si>
  <si>
    <t xml:space="preserve">4164043-3</t>
  </si>
  <si>
    <t xml:space="preserve">Musik &gt; Klassische Musik</t>
  </si>
  <si>
    <t xml:space="preserve">Music &gt; Classical Music</t>
  </si>
  <si>
    <t xml:space="preserve">http://w3id.org/arkumu/project-categories#project-category-230</t>
  </si>
  <si>
    <t xml:space="preserve">Military Music</t>
  </si>
  <si>
    <t xml:space="preserve">Militärmusik</t>
  </si>
  <si>
    <t xml:space="preserve">Q6774721</t>
  </si>
  <si>
    <t xml:space="preserve">4039344-6</t>
  </si>
  <si>
    <t xml:space="preserve">Musik &gt; Militärmusik</t>
  </si>
  <si>
    <t xml:space="preserve">Music &gt; Military Music</t>
  </si>
  <si>
    <t xml:space="preserve">http://w3id.org/arkumu/project-categories#project-category-231</t>
  </si>
  <si>
    <t xml:space="preserve">Neue Musik</t>
  </si>
  <si>
    <t xml:space="preserve">Q21662779</t>
  </si>
  <si>
    <t xml:space="preserve">4428235-7</t>
  </si>
  <si>
    <t xml:space="preserve">Musik &gt; Neue Musik</t>
  </si>
  <si>
    <t xml:space="preserve">Music &gt; Neue Musik</t>
  </si>
  <si>
    <t xml:space="preserve">http://w3id.org/arkumu/project-categories#project-category-232</t>
  </si>
  <si>
    <t xml:space="preserve">Orchestral Music</t>
  </si>
  <si>
    <t xml:space="preserve">Orchestermusik</t>
  </si>
  <si>
    <t xml:space="preserve">Q3328774</t>
  </si>
  <si>
    <t xml:space="preserve">4131523-6</t>
  </si>
  <si>
    <t xml:space="preserve">Musik &gt; Orchestermusik</t>
  </si>
  <si>
    <t xml:space="preserve">Music &gt; Orchestral Music</t>
  </si>
  <si>
    <t xml:space="preserve">http://w3id.org/arkumu/project-categories#project-category-233</t>
  </si>
  <si>
    <t xml:space="preserve">Popular Music</t>
  </si>
  <si>
    <t xml:space="preserve">Popularmusik</t>
  </si>
  <si>
    <t xml:space="preserve">Q373342</t>
  </si>
  <si>
    <t xml:space="preserve">Musik &gt; Popularmusik</t>
  </si>
  <si>
    <t xml:space="preserve">Music &gt; Popular Music</t>
  </si>
  <si>
    <t xml:space="preserve">http://w3id.org/arkumu/project-categories#project-category-234</t>
  </si>
  <si>
    <t xml:space="preserve">American Folk</t>
  </si>
  <si>
    <t xml:space="preserve">Q1541229</t>
  </si>
  <si>
    <t xml:space="preserve">4137558-0</t>
  </si>
  <si>
    <t xml:space="preserve">Musik &gt; Popularmusik &gt; American Folk</t>
  </si>
  <si>
    <t xml:space="preserve">Music &gt; Popular Music &gt; American Folk</t>
  </si>
  <si>
    <t xml:space="preserve">http://w3id.org/arkumu/project-categories#project-category-235</t>
  </si>
  <si>
    <t xml:space="preserve">Beat</t>
  </si>
  <si>
    <t xml:space="preserve">Beatmusik</t>
  </si>
  <si>
    <t xml:space="preserve">Q546264</t>
  </si>
  <si>
    <t xml:space="preserve">4144239-8</t>
  </si>
  <si>
    <t xml:space="preserve">Musik &gt; Popularmusik &gt; Beat</t>
  </si>
  <si>
    <t xml:space="preserve">Music &gt; Popular Music &gt; Beat</t>
  </si>
  <si>
    <t xml:space="preserve">http://w3id.org/arkumu/project-categories#project-category-236</t>
  </si>
  <si>
    <t xml:space="preserve">Blues</t>
  </si>
  <si>
    <t xml:space="preserve">Q9759</t>
  </si>
  <si>
    <t xml:space="preserve">4132568-0</t>
  </si>
  <si>
    <t xml:space="preserve">Musik &gt; Popularmusik &gt; Blues</t>
  </si>
  <si>
    <t xml:space="preserve">Music &gt; Popular Music &gt; Blues</t>
  </si>
  <si>
    <t xml:space="preserve">http://w3id.org/arkumu/project-categories#project-category-237</t>
  </si>
  <si>
    <t xml:space="preserve">Chanson</t>
  </si>
  <si>
    <t xml:space="preserve">Q1062400</t>
  </si>
  <si>
    <t xml:space="preserve">4009744-4</t>
  </si>
  <si>
    <t xml:space="preserve">Musik &gt; Popularmusik &gt; Chanson</t>
  </si>
  <si>
    <t xml:space="preserve">Music &gt; Popular Music &gt; Chanson</t>
  </si>
  <si>
    <t xml:space="preserve">http://w3id.org/arkumu/project-categories#project-category-238</t>
  </si>
  <si>
    <t xml:space="preserve">Country</t>
  </si>
  <si>
    <t xml:space="preserve">Countrymusic</t>
  </si>
  <si>
    <t xml:space="preserve">Q83440</t>
  </si>
  <si>
    <t xml:space="preserve">4138030-7</t>
  </si>
  <si>
    <t xml:space="preserve">Musik &gt; Popularmusik &gt; Country</t>
  </si>
  <si>
    <t xml:space="preserve">Music &gt; Popular Music &gt; Country</t>
  </si>
  <si>
    <t xml:space="preserve">http://w3id.org/arkumu/project-categories#project-category-239</t>
  </si>
  <si>
    <t xml:space="preserve">Electronic Dance Music</t>
  </si>
  <si>
    <t xml:space="preserve">EDM</t>
  </si>
  <si>
    <t xml:space="preserve">Q851213</t>
  </si>
  <si>
    <t xml:space="preserve">Musik &gt; Popularmusik &gt; Electronic Dance Music</t>
  </si>
  <si>
    <t xml:space="preserve">Music &gt; Popular Music &gt; Electronic Dance Music</t>
  </si>
  <si>
    <t xml:space="preserve">http://w3id.org/arkumu/project-categories#project-category-240</t>
  </si>
  <si>
    <t xml:space="preserve">Hip-Hop</t>
  </si>
  <si>
    <t xml:space="preserve">Q11401</t>
  </si>
  <si>
    <t xml:space="preserve">4303517-6</t>
  </si>
  <si>
    <t xml:space="preserve">Musik &gt; Popularmusik &gt; Hip-Hop</t>
  </si>
  <si>
    <t xml:space="preserve">Music &gt; Popular Music &gt; Hip-Hop</t>
  </si>
  <si>
    <t xml:space="preserve">http://w3id.org/arkumu/project-categories#project-category-241</t>
  </si>
  <si>
    <t xml:space="preserve">Metal</t>
  </si>
  <si>
    <t xml:space="preserve">Heavy Metal</t>
  </si>
  <si>
    <t xml:space="preserve">Q12326776</t>
  </si>
  <si>
    <t xml:space="preserve">4284512-9</t>
  </si>
  <si>
    <t xml:space="preserve">Musik &gt; Popularmusik &gt; Metal</t>
  </si>
  <si>
    <t xml:space="preserve">Music &gt; Popular Music &gt; Metal</t>
  </si>
  <si>
    <t xml:space="preserve">http://w3id.org/arkumu/project-categories#project-category-242</t>
  </si>
  <si>
    <t xml:space="preserve">New Wave</t>
  </si>
  <si>
    <t xml:space="preserve">Q187760</t>
  </si>
  <si>
    <t xml:space="preserve">4201741-5</t>
  </si>
  <si>
    <t xml:space="preserve">Musik &gt; Popularmusik &gt; New Wave</t>
  </si>
  <si>
    <t xml:space="preserve">Music &gt; Popular Music &gt; New Wave</t>
  </si>
  <si>
    <t xml:space="preserve">http://w3id.org/arkumu/project-categories#project-category-243</t>
  </si>
  <si>
    <t xml:space="preserve">Pop</t>
  </si>
  <si>
    <t xml:space="preserve">Popmusik</t>
  </si>
  <si>
    <t xml:space="preserve">Q37073</t>
  </si>
  <si>
    <t xml:space="preserve">4046781-8</t>
  </si>
  <si>
    <t xml:space="preserve">Musik &gt; Popularmusik &gt; Pop</t>
  </si>
  <si>
    <t xml:space="preserve">Music &gt; Popular Music &gt; Pop</t>
  </si>
  <si>
    <t xml:space="preserve">http://w3id.org/arkumu/project-categories#project-category-244</t>
  </si>
  <si>
    <t xml:space="preserve">Punk</t>
  </si>
  <si>
    <t xml:space="preserve">Q3071</t>
  </si>
  <si>
    <t xml:space="preserve">4047851-8</t>
  </si>
  <si>
    <t xml:space="preserve">Musik &gt; Popularmusik &gt; Punk</t>
  </si>
  <si>
    <t xml:space="preserve">Music &gt; Popular Music &gt; Punk</t>
  </si>
  <si>
    <t xml:space="preserve">http://w3id.org/arkumu/project-categories#project-category-245</t>
  </si>
  <si>
    <t xml:space="preserve">Rythm and Blues</t>
  </si>
  <si>
    <t xml:space="preserve">Rhythm &amp; Blues,R&amp;B,R ’n’ B,RnB,R'n'B</t>
  </si>
  <si>
    <t xml:space="preserve">Q45981</t>
  </si>
  <si>
    <t xml:space="preserve">4178058-9</t>
  </si>
  <si>
    <t xml:space="preserve">Musik &gt; Popularmusik &gt; Rythm and Blues</t>
  </si>
  <si>
    <t xml:space="preserve">Music &gt; Popular Music &gt; Rythm and Blues</t>
  </si>
  <si>
    <t xml:space="preserve">http://w3id.org/arkumu/project-categories#project-category-246</t>
  </si>
  <si>
    <t xml:space="preserve">Reggae</t>
  </si>
  <si>
    <t xml:space="preserve">Q9794</t>
  </si>
  <si>
    <t xml:space="preserve">4131018-4</t>
  </si>
  <si>
    <t xml:space="preserve">Musik &gt; Popularmusik &gt; Reggae</t>
  </si>
  <si>
    <t xml:space="preserve">Music &gt; Popular Music &gt; Reggae</t>
  </si>
  <si>
    <t xml:space="preserve">http://w3id.org/arkumu/project-categories#project-category-247</t>
  </si>
  <si>
    <t xml:space="preserve">Rock</t>
  </si>
  <si>
    <t xml:space="preserve">Rockmusik</t>
  </si>
  <si>
    <t xml:space="preserve">Q11399</t>
  </si>
  <si>
    <t xml:space="preserve">4115774-6</t>
  </si>
  <si>
    <t xml:space="preserve">Musik &gt; Popularmusik &gt; Rock</t>
  </si>
  <si>
    <t xml:space="preserve">Music &gt; Popular Music &gt; Rock</t>
  </si>
  <si>
    <t xml:space="preserve">http://w3id.org/arkumu/project-categories#project-category-248</t>
  </si>
  <si>
    <t xml:space="preserve">Rock and Roll</t>
  </si>
  <si>
    <t xml:space="preserve">Q7749</t>
  </si>
  <si>
    <t xml:space="preserve">4076762-0</t>
  </si>
  <si>
    <t xml:space="preserve">Musik &gt; Popularmusik &gt; Rock and Roll</t>
  </si>
  <si>
    <t xml:space="preserve">Music &gt; Popular Music &gt; Rock and Roll</t>
  </si>
  <si>
    <t xml:space="preserve">http://w3id.org/arkumu/project-categories#project-category-249</t>
  </si>
  <si>
    <t xml:space="preserve">Schlager</t>
  </si>
  <si>
    <t xml:space="preserve">Q959583</t>
  </si>
  <si>
    <t xml:space="preserve">4179673-1</t>
  </si>
  <si>
    <t xml:space="preserve">Musik &gt; Popularmusik &gt; Schlager</t>
  </si>
  <si>
    <t xml:space="preserve">Music &gt; Popular Music &gt; Schlager</t>
  </si>
  <si>
    <t xml:space="preserve">http://w3id.org/arkumu/project-categories#project-category-250</t>
  </si>
  <si>
    <t xml:space="preserve">Singer-Songwriter</t>
  </si>
  <si>
    <t xml:space="preserve">Singer/Songwriter/Liedermacher</t>
  </si>
  <si>
    <t xml:space="preserve">Q89363113</t>
  </si>
  <si>
    <t xml:space="preserve">Musik &gt; Popularmusik &gt; Singer/Songwriter/Liedermacher</t>
  </si>
  <si>
    <t xml:space="preserve">Music &gt; Popular Music &gt; Singer-Songwriter</t>
  </si>
  <si>
    <t xml:space="preserve">http://w3id.org/arkumu/project-categories#project-category-251</t>
  </si>
  <si>
    <t xml:space="preserve">Ska</t>
  </si>
  <si>
    <t xml:space="preserve">Q54365</t>
  </si>
  <si>
    <t xml:space="preserve">4417986-8</t>
  </si>
  <si>
    <t xml:space="preserve">Musik &gt; Popularmusik &gt; Ska</t>
  </si>
  <si>
    <t xml:space="preserve">Music &gt; Popular Music &gt; Ska</t>
  </si>
  <si>
    <t xml:space="preserve">http://w3id.org/arkumu/project-categories#project-category-252</t>
  </si>
  <si>
    <t xml:space="preserve">Solo Music</t>
  </si>
  <si>
    <t xml:space="preserve">Solomusik</t>
  </si>
  <si>
    <t xml:space="preserve">Q11787388</t>
  </si>
  <si>
    <t xml:space="preserve">Musik &gt; Solomusik</t>
  </si>
  <si>
    <t xml:space="preserve">Music &gt; Solo Music</t>
  </si>
  <si>
    <t xml:space="preserve">http://w3id.org/arkumu/project-categories#project-category-253</t>
  </si>
  <si>
    <t xml:space="preserve">Musik &gt; Soundtrack</t>
  </si>
  <si>
    <t xml:space="preserve">Music &gt; Soundtrack</t>
  </si>
  <si>
    <t xml:space="preserve">http://w3id.org/arkumu/project-categories#project-category-254</t>
  </si>
  <si>
    <t xml:space="preserve">Film Music</t>
  </si>
  <si>
    <t xml:space="preserve">Filmmusik</t>
  </si>
  <si>
    <t xml:space="preserve">Q492264</t>
  </si>
  <si>
    <t xml:space="preserve">Musik &gt; Soundtrack &gt; Filmmusik</t>
  </si>
  <si>
    <t xml:space="preserve">Music &gt; Soundtrack &gt; Film Music</t>
  </si>
  <si>
    <t xml:space="preserve">http://w3id.org/arkumu/project-categories#project-category-255</t>
  </si>
  <si>
    <t xml:space="preserve">Game Soundtrack</t>
  </si>
  <si>
    <t xml:space="preserve">Videospielmusik</t>
  </si>
  <si>
    <t xml:space="preserve">Game-Soundtrack,Computerspielmusik</t>
  </si>
  <si>
    <t xml:space="preserve">Q1062702</t>
  </si>
  <si>
    <t xml:space="preserve">Musik &gt; Soundtrack &gt; Videospielmusik</t>
  </si>
  <si>
    <t xml:space="preserve">Music &gt; Soundtrack &gt; Game Soundtrack</t>
  </si>
  <si>
    <t xml:space="preserve">http://w3id.org/arkumu/project-categories#project-category-256</t>
  </si>
  <si>
    <t xml:space="preserve">Dance Music</t>
  </si>
  <si>
    <t xml:space="preserve">Tanzmusik</t>
  </si>
  <si>
    <t xml:space="preserve">Q316930</t>
  </si>
  <si>
    <t xml:space="preserve">4140677-1</t>
  </si>
  <si>
    <t xml:space="preserve">Musik &gt; Tanzmusik</t>
  </si>
  <si>
    <t xml:space="preserve">Music &gt; Dance Music</t>
  </si>
  <si>
    <t xml:space="preserve">http://w3id.org/arkumu/project-categories#project-category-257</t>
  </si>
  <si>
    <t xml:space="preserve">Vocal Music</t>
  </si>
  <si>
    <t xml:space="preserve">Vokalmusik</t>
  </si>
  <si>
    <t xml:space="preserve">Q685884</t>
  </si>
  <si>
    <t xml:space="preserve">4063783-9</t>
  </si>
  <si>
    <t xml:space="preserve">Musik &gt; Vokalmusik</t>
  </si>
  <si>
    <t xml:space="preserve">Music &gt; Vocal Music</t>
  </si>
  <si>
    <t xml:space="preserve">http://w3id.org/arkumu/project-categories#project-category-258</t>
  </si>
  <si>
    <t xml:space="preserve">Secular Music</t>
  </si>
  <si>
    <t xml:space="preserve">Weltliche Musik</t>
  </si>
  <si>
    <t xml:space="preserve">Q2707298</t>
  </si>
  <si>
    <t xml:space="preserve">4233831-1</t>
  </si>
  <si>
    <t xml:space="preserve">Musik &gt; Weltliche Musik</t>
  </si>
  <si>
    <t xml:space="preserve">Music &gt; Secular Music</t>
  </si>
  <si>
    <t xml:space="preserve">http://w3id.org/arkumu/project-categories#project-category-259</t>
  </si>
  <si>
    <t xml:space="preserve">Advertising Music</t>
  </si>
  <si>
    <t xml:space="preserve">Werbemusik</t>
  </si>
  <si>
    <t xml:space="preserve">Q461064</t>
  </si>
  <si>
    <t xml:space="preserve">Musik &gt; Werbemusik</t>
  </si>
  <si>
    <t xml:space="preserve">Music &gt; Advertising Music</t>
  </si>
  <si>
    <t xml:space="preserve">http://w3id.org/arkumu/project-categories#project-category-260</t>
  </si>
  <si>
    <t xml:space="preserve">http://w3id.org/arkumu/project-categories#project-category-261</t>
  </si>
  <si>
    <t xml:space="preserve">Concert Dance</t>
  </si>
  <si>
    <t xml:space="preserve">Bühnentanz</t>
  </si>
  <si>
    <t xml:space="preserve">Q1020618</t>
  </si>
  <si>
    <t xml:space="preserve">Tanz &gt; Bühnentanz</t>
  </si>
  <si>
    <t xml:space="preserve">Dance &gt; Concert Dance</t>
  </si>
  <si>
    <t xml:space="preserve">http://w3id.org/arkumu/project-categories#project-category-262</t>
  </si>
  <si>
    <t xml:space="preserve">Group Dance</t>
  </si>
  <si>
    <t xml:space="preserve">Gruppentanz</t>
  </si>
  <si>
    <t xml:space="preserve">Q1551063</t>
  </si>
  <si>
    <t xml:space="preserve">4158473-9</t>
  </si>
  <si>
    <t xml:space="preserve">Tanz &gt; Gruppentanz</t>
  </si>
  <si>
    <t xml:space="preserve">Dance &gt; Group Dance</t>
  </si>
  <si>
    <t xml:space="preserve">http://w3id.org/arkumu/project-categories#project-category-263</t>
  </si>
  <si>
    <t xml:space="preserve">Jazz Dance</t>
  </si>
  <si>
    <t xml:space="preserve">Jazztanz</t>
  </si>
  <si>
    <t xml:space="preserve">Q936055</t>
  </si>
  <si>
    <t xml:space="preserve">4028536-4</t>
  </si>
  <si>
    <t xml:space="preserve">Tanz &gt; Jazztanz</t>
  </si>
  <si>
    <t xml:space="preserve">Dance &gt; Jazz Dance</t>
  </si>
  <si>
    <t xml:space="preserve">http://w3id.org/arkumu/project-categories#project-category-264</t>
  </si>
  <si>
    <t xml:space="preserve">Latin American Dance</t>
  </si>
  <si>
    <t xml:space="preserve">Lateinamerikanischer Tanz</t>
  </si>
  <si>
    <t xml:space="preserve">Q1457972</t>
  </si>
  <si>
    <t xml:space="preserve">4166849-2</t>
  </si>
  <si>
    <t xml:space="preserve">Tanz &gt; Lateinamerikanischer Tanz</t>
  </si>
  <si>
    <t xml:space="preserve">Dance &gt; Latin American Dance</t>
  </si>
  <si>
    <t xml:space="preserve">http://w3id.org/arkumu/project-categories#project-category-265</t>
  </si>
  <si>
    <t xml:space="preserve">Poplular Dance</t>
  </si>
  <si>
    <t xml:space="preserve">Modetanz</t>
  </si>
  <si>
    <t xml:space="preserve">Q1650566</t>
  </si>
  <si>
    <t xml:space="preserve">4338414-6</t>
  </si>
  <si>
    <t xml:space="preserve">Tanz &gt; Modetanz</t>
  </si>
  <si>
    <t xml:space="preserve">Dance &gt; Poplular Dance</t>
  </si>
  <si>
    <t xml:space="preserve">http://w3id.org/arkumu/project-categories#project-category-266</t>
  </si>
  <si>
    <t xml:space="preserve">Partner Dance</t>
  </si>
  <si>
    <t xml:space="preserve">Paartanz</t>
  </si>
  <si>
    <t xml:space="preserve">Q280336</t>
  </si>
  <si>
    <t xml:space="preserve">4485517-5</t>
  </si>
  <si>
    <t xml:space="preserve">Tanz &gt; Paartanz</t>
  </si>
  <si>
    <t xml:space="preserve">Dance &gt; Partner Dance</t>
  </si>
  <si>
    <t xml:space="preserve">http://w3id.org/arkumu/project-categories#project-category-267</t>
  </si>
  <si>
    <t xml:space="preserve">Line Dance</t>
  </si>
  <si>
    <t xml:space="preserve">Reihentanz</t>
  </si>
  <si>
    <t xml:space="preserve">Q912389</t>
  </si>
  <si>
    <t xml:space="preserve">4408881-4</t>
  </si>
  <si>
    <t xml:space="preserve">Tanz &gt; Reihentanz</t>
  </si>
  <si>
    <t xml:space="preserve">Dance &gt; Line Dance</t>
  </si>
  <si>
    <t xml:space="preserve">http://w3id.org/arkumu/project-categories#project-category-268</t>
  </si>
  <si>
    <t xml:space="preserve">Solo Dance</t>
  </si>
  <si>
    <t xml:space="preserve">Solotanz</t>
  </si>
  <si>
    <t xml:space="preserve">Einzeltanz</t>
  </si>
  <si>
    <t xml:space="preserve">Q178406</t>
  </si>
  <si>
    <t xml:space="preserve">4151459-2</t>
  </si>
  <si>
    <t xml:space="preserve">Tanz &gt; Solotanz</t>
  </si>
  <si>
    <t xml:space="preserve">Dance &gt; Solo Dance</t>
  </si>
  <si>
    <t xml:space="preserve">http://w3id.org/arkumu/project-categories#project-category-269</t>
  </si>
  <si>
    <t xml:space="preserve">Ballroom Dance</t>
  </si>
  <si>
    <t xml:space="preserve">Standardtanz</t>
  </si>
  <si>
    <t xml:space="preserve">Gesellschaftstanz</t>
  </si>
  <si>
    <t xml:space="preserve">Q1085001</t>
  </si>
  <si>
    <t xml:space="preserve">4235881-4</t>
  </si>
  <si>
    <t xml:space="preserve">Tanz &gt; Standardtanz</t>
  </si>
  <si>
    <t xml:space="preserve">Dance &gt; Ballroom Dance</t>
  </si>
  <si>
    <t xml:space="preserve">http://w3id.org/arkumu/project-categories#project-category-270</t>
  </si>
  <si>
    <t xml:space="preserve">Street Dance</t>
  </si>
  <si>
    <t xml:space="preserve">Breakdance</t>
  </si>
  <si>
    <t xml:space="preserve">Streetdance</t>
  </si>
  <si>
    <t xml:space="preserve">Hip-Hop-Tanz</t>
  </si>
  <si>
    <t xml:space="preserve">Q1061584</t>
  </si>
  <si>
    <t xml:space="preserve">Tanz &gt; Streetdance</t>
  </si>
  <si>
    <t xml:space="preserve">Dance &gt; Street Dance</t>
  </si>
  <si>
    <t xml:space="preserve">http://w3id.org/arkumu/project-categories#project-category-271</t>
  </si>
  <si>
    <t xml:space="preserve">Tanz &gt; Tanztheater</t>
  </si>
  <si>
    <t xml:space="preserve">Dance &gt; Dance Theatre</t>
  </si>
  <si>
    <t xml:space="preserve">http://w3id.org/arkumu/project-categories#project-category-272</t>
  </si>
  <si>
    <t xml:space="preserve">Event</t>
  </si>
  <si>
    <t xml:space="preserve">Veranstaltung</t>
  </si>
  <si>
    <t xml:space="preserve">Q1656682</t>
  </si>
  <si>
    <t xml:space="preserve">4125453-3</t>
  </si>
  <si>
    <t xml:space="preserve">http://w3id.org/arkumu/project-categories#project-category-273</t>
  </si>
  <si>
    <t xml:space="preserve">Interview</t>
  </si>
  <si>
    <t xml:space="preserve">Q178651</t>
  </si>
  <si>
    <t xml:space="preserve">4027503-6</t>
  </si>
  <si>
    <t xml:space="preserve">Veranstaltung &gt; Interview</t>
  </si>
  <si>
    <t xml:space="preserve">Event &gt; Interview</t>
  </si>
  <si>
    <t xml:space="preserve">http://w3id.org/arkumu/project-categories#project-category-274</t>
  </si>
  <si>
    <t xml:space="preserve">Panel Discussion</t>
  </si>
  <si>
    <t xml:space="preserve">Podiumsdiskussion</t>
  </si>
  <si>
    <t xml:space="preserve">Podiumsgespräch</t>
  </si>
  <si>
    <t xml:space="preserve">Q2100278</t>
  </si>
  <si>
    <t xml:space="preserve">4614247-2</t>
  </si>
  <si>
    <t xml:space="preserve">Veranstaltung &gt; Podiumsdiskussion</t>
  </si>
  <si>
    <t xml:space="preserve">http://w3id.org/arkumu/project-categories#project-category-275</t>
  </si>
  <si>
    <t xml:space="preserve">Speech</t>
  </si>
  <si>
    <t xml:space="preserve">Oration,Address</t>
  </si>
  <si>
    <t xml:space="preserve">Rede</t>
  </si>
  <si>
    <t xml:space="preserve">Oration,Ansprache</t>
  </si>
  <si>
    <t xml:space="preserve">Q861911</t>
  </si>
  <si>
    <t xml:space="preserve">4048882-2</t>
  </si>
  <si>
    <t xml:space="preserve">Veranstaltung &gt; Rede</t>
  </si>
  <si>
    <t xml:space="preserve">http://w3id.org/arkumu/project-categories#project-category-276</t>
  </si>
  <si>
    <t xml:space="preserve">Conference</t>
  </si>
  <si>
    <t xml:space="preserve">Academic Conference,Scientific Conference,Convention</t>
  </si>
  <si>
    <t xml:space="preserve">Symposium</t>
  </si>
  <si>
    <t xml:space="preserve">Wissenschaftliche Konferenz,Konferenz,Kongress,Tagung</t>
  </si>
  <si>
    <t xml:space="preserve">Q2020153</t>
  </si>
  <si>
    <t xml:space="preserve">4032055-8</t>
  </si>
  <si>
    <t xml:space="preserve">Veranstaltung &gt; Symposium</t>
  </si>
  <si>
    <t xml:space="preserve">http://w3id.org/arkumu/project-categories#project-category-277</t>
  </si>
  <si>
    <t xml:space="preserve">Lecture</t>
  </si>
  <si>
    <t xml:space="preserve">Talk</t>
  </si>
  <si>
    <t xml:space="preserve">Vorlesung</t>
  </si>
  <si>
    <t xml:space="preserve">Lehrveranstaltung</t>
  </si>
  <si>
    <t xml:space="preserve">Q603773</t>
  </si>
  <si>
    <t xml:space="preserve">4117405-7</t>
  </si>
  <si>
    <t xml:space="preserve">Veranstaltung &gt; Vorlesung</t>
  </si>
  <si>
    <t xml:space="preserve">http://w3id.org/arkumu/project-categories#project-category-278</t>
  </si>
  <si>
    <t xml:space="preserve">Presentation</t>
  </si>
  <si>
    <t xml:space="preserve">Vortrag</t>
  </si>
  <si>
    <t xml:space="preserve">Referat,Präsentation</t>
  </si>
  <si>
    <t xml:space="preserve">Q604733</t>
  </si>
  <si>
    <t xml:space="preserve">4064035-8</t>
  </si>
  <si>
    <t xml:space="preserve">Veranstaltung &gt; Vortrag</t>
  </si>
  <si>
    <t xml:space="preserve">http://w3id.org/arkumu/project-categories#project-category-279</t>
  </si>
  <si>
    <t xml:space="preserve">Opera</t>
  </si>
  <si>
    <t xml:space="preserve">Oper</t>
  </si>
  <si>
    <t xml:space="preserve">Q1344</t>
  </si>
  <si>
    <t xml:space="preserve">4043582-9</t>
  </si>
  <si>
    <t xml:space="preserve">Musik &gt; Bühnenmusik &gt; Oper</t>
  </si>
  <si>
    <t xml:space="preserve">Music &gt; Stage Music &gt; Oper</t>
  </si>
  <si>
    <t xml:space="preserve">http://w3id.org/arkumu/project-categories#project-category-280</t>
  </si>
  <si>
    <t xml:space="preserve">Direction</t>
  </si>
  <si>
    <t xml:space="preserve">Stage Direction</t>
  </si>
  <si>
    <t xml:space="preserve">Regie</t>
  </si>
  <si>
    <t xml:space="preserve">Theaterregie</t>
  </si>
  <si>
    <t xml:space="preserve">Q2137554</t>
  </si>
  <si>
    <t xml:space="preserve">4177403-6</t>
  </si>
  <si>
    <t xml:space="preserve">Darstellende Kunst &gt; Theater &gt; Regie</t>
  </si>
  <si>
    <t xml:space="preserve">Performing Arts &gt; Theatre &gt; Direction</t>
  </si>
  <si>
    <t xml:space="preserve">http://w3id.org/arkumu/project-categories#project-category-281</t>
  </si>
  <si>
    <t xml:space="preserve">Fixed Media</t>
  </si>
  <si>
    <t xml:space="preserve">Lautsprechermusik</t>
  </si>
  <si>
    <t xml:space="preserve">Q131286868</t>
  </si>
  <si>
    <t xml:space="preserve">Musik &gt; Elektroakustische Musik &gt; Fixed Media</t>
  </si>
  <si>
    <t xml:space="preserve">Music &gt; Electroacoustic Music &gt; Fixed Media</t>
  </si>
  <si>
    <t xml:space="preserve">http://w3id.org/arkumu/project-categories#project-category-282</t>
  </si>
  <si>
    <t xml:space="preserve">Radio Programme</t>
  </si>
  <si>
    <t xml:space="preserve">Radio Show,Radio Program</t>
  </si>
  <si>
    <t xml:space="preserve">Radiosendung</t>
  </si>
  <si>
    <t xml:space="preserve">Hörfunksendung,Rundfunksendung</t>
  </si>
  <si>
    <t xml:space="preserve">Q1555508</t>
  </si>
  <si>
    <t xml:space="preserve">4160384-9</t>
  </si>
  <si>
    <t xml:space="preserve">Veranstaltung &gt; Radiosendung</t>
  </si>
  <si>
    <t xml:space="preserve">Event &gt; Radio Program</t>
  </si>
  <si>
    <t xml:space="preserve">http://w3id.org/arkumu/project-categories#project-category-283</t>
  </si>
  <si>
    <t xml:space="preserve">Portrait</t>
  </si>
  <si>
    <t xml:space="preserve">Portrait Painting</t>
  </si>
  <si>
    <t xml:space="preserve">Portraitmalerei,Porträtmalerei</t>
  </si>
  <si>
    <t xml:space="preserve">Q1400853</t>
  </si>
  <si>
    <t xml:space="preserve">4145426-1</t>
  </si>
  <si>
    <t xml:space="preserve">Kunst &gt; Malerei &gt; Portrait</t>
  </si>
  <si>
    <t xml:space="preserve">Art &gt; Painting &gt; Portrait</t>
  </si>
  <si>
    <t xml:space="preserve">http://w3id.org/arkumu/project-categories#project-category-284</t>
  </si>
  <si>
    <t xml:space="preserve">Landscape Painting</t>
  </si>
  <si>
    <t xml:space="preserve">Landschaftsmalerei</t>
  </si>
  <si>
    <t xml:space="preserve">Landschaftsgemälde</t>
  </si>
  <si>
    <t xml:space="preserve">Q191163</t>
  </si>
  <si>
    <t xml:space="preserve">4114355-3</t>
  </si>
  <si>
    <t xml:space="preserve">Kunst &gt; Malerei &gt; Landschaftsmalerei</t>
  </si>
  <si>
    <t xml:space="preserve">Art &gt; Painting &gt; Landscape Painting</t>
  </si>
  <si>
    <t xml:space="preserve">http://w3id.org/arkumu/project-categories#project-category-285</t>
  </si>
  <si>
    <t xml:space="preserve">Still Life</t>
  </si>
  <si>
    <t xml:space="preserve">Still-Life Art</t>
  </si>
  <si>
    <t xml:space="preserve">Stilleben</t>
  </si>
  <si>
    <t xml:space="preserve">Q170571</t>
  </si>
  <si>
    <t xml:space="preserve">4057577-9</t>
  </si>
  <si>
    <t xml:space="preserve">Kunst &gt; Malerei &gt; Stilleben</t>
  </si>
  <si>
    <t xml:space="preserve">Art &gt; Painting &gt; Still Life</t>
  </si>
  <si>
    <t xml:space="preserve">http://w3id.org/arkumu/project-categories#project-category-286</t>
  </si>
  <si>
    <t xml:space="preserve">Genre Painting</t>
  </si>
  <si>
    <t xml:space="preserve">Genremalerei</t>
  </si>
  <si>
    <t xml:space="preserve">Genrebild,Genreszene</t>
  </si>
  <si>
    <t xml:space="preserve">Q214127</t>
  </si>
  <si>
    <t xml:space="preserve">4020173-9</t>
  </si>
  <si>
    <t xml:space="preserve">Kunst &gt; Malerei &gt; Genremalerei</t>
  </si>
  <si>
    <t xml:space="preserve">Art &gt; Painting &gt; Genre Painting</t>
  </si>
  <si>
    <t xml:space="preserve">http://w3id.org/arkumu/project-categories#project-category-287</t>
  </si>
  <si>
    <t xml:space="preserve">History Painting</t>
  </si>
  <si>
    <t xml:space="preserve">Historienmalerei</t>
  </si>
  <si>
    <t xml:space="preserve">Historiengemälde,Historienbild</t>
  </si>
  <si>
    <t xml:space="preserve">Q742333</t>
  </si>
  <si>
    <t xml:space="preserve">4025097-0</t>
  </si>
  <si>
    <t xml:space="preserve">Kunst &gt; Malerei &gt; Historienmalerei</t>
  </si>
  <si>
    <t xml:space="preserve">Art &gt; Painting &gt; History Painting</t>
  </si>
  <si>
    <t xml:space="preserve">http://w3id.org/arkumu/project-categories#project-category-288</t>
  </si>
  <si>
    <t xml:space="preserve">Abstract Painting</t>
  </si>
  <si>
    <t xml:space="preserve">Abstrakte Malerei</t>
  </si>
  <si>
    <t xml:space="preserve">abstraktes Gemälde,Absolute Malerei</t>
  </si>
  <si>
    <t xml:space="preserve">Q333357</t>
  </si>
  <si>
    <t xml:space="preserve">4141148-1</t>
  </si>
  <si>
    <t xml:space="preserve">Kunst &gt; Malerei &gt; Abstrakte Malerei</t>
  </si>
  <si>
    <t xml:space="preserve">Art &gt; Painting &gt; Abstract Painting</t>
  </si>
  <si>
    <t xml:space="preserve">http://w3id.org/arkumu/project-categories#project-category-289</t>
  </si>
  <si>
    <t xml:space="preserve">Architectural Painting</t>
  </si>
  <si>
    <t xml:space="preserve">Architectural Picture</t>
  </si>
  <si>
    <t xml:space="preserve">Architekturmalerei</t>
  </si>
  <si>
    <t xml:space="preserve">Q18353841</t>
  </si>
  <si>
    <t xml:space="preserve">4142964-3</t>
  </si>
  <si>
    <t xml:space="preserve">Kunst &gt; Malerei &gt; Architekturmalerei</t>
  </si>
  <si>
    <t xml:space="preserve">Art &gt; Painting &gt; Architectural Painting</t>
  </si>
  <si>
    <t xml:space="preserve">http://w3id.org/arkumu/project-categories#project-category-290</t>
  </si>
  <si>
    <t xml:space="preserve">Interior Painting</t>
  </si>
  <si>
    <t xml:space="preserve">Interieurmalerei</t>
  </si>
  <si>
    <t xml:space="preserve">Q1666094</t>
  </si>
  <si>
    <t xml:space="preserve">Kunst &gt; Malerei &gt; Interieurmalerei</t>
  </si>
  <si>
    <t xml:space="preserve">Art &gt; Painting &gt; Interior Painting</t>
  </si>
  <si>
    <t xml:space="preserve">http://w3id.org/arkumu/project-categories#project-category-291</t>
  </si>
  <si>
    <t xml:space="preserve">Nude Painting</t>
  </si>
  <si>
    <t xml:space="preserve">Aktmalerei</t>
  </si>
  <si>
    <t xml:space="preserve">Q40446</t>
  </si>
  <si>
    <t xml:space="preserve">4000978-6</t>
  </si>
  <si>
    <t xml:space="preserve">Kunst &gt; Malerei &gt; Aktmalerei</t>
  </si>
  <si>
    <t xml:space="preserve">Art &gt; Painting &gt; Nude Painting</t>
  </si>
</sst>
</file>

<file path=xl/styles.xml><?xml version="1.0" encoding="utf-8"?>
<styleSheet xmlns="http://schemas.openxmlformats.org/spreadsheetml/2006/main">
  <numFmts count="2">
    <numFmt numFmtId="164" formatCode="General"/>
    <numFmt numFmtId="165" formatCode="yyyy\-mm\-dd"/>
  </numFmts>
  <fonts count="15">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0"/>
      <color theme="1"/>
      <name val="Ubuntu Sans"/>
      <family val="2"/>
      <charset val="1"/>
    </font>
    <font>
      <sz val="10"/>
      <name val="Ubuntu Sans"/>
      <family val="2"/>
      <charset val="1"/>
    </font>
    <font>
      <u val="single"/>
      <sz val="10"/>
      <color theme="10"/>
      <name val="Ubuntu Sans"/>
      <family val="2"/>
      <charset val="1"/>
    </font>
    <font>
      <sz val="10"/>
      <color theme="1"/>
      <name val="Ubuntu Sans"/>
      <family val="2"/>
    </font>
    <font>
      <b val="true"/>
      <sz val="10"/>
      <name val="Ubuntu Sans"/>
      <family val="2"/>
      <charset val="1"/>
    </font>
    <font>
      <sz val="10"/>
      <name val="Ubuntu Sans"/>
      <family val="2"/>
    </font>
    <font>
      <sz val="11"/>
      <color theme="1"/>
      <name val="Ubuntu Sans"/>
      <family val="2"/>
      <charset val="1"/>
    </font>
    <font>
      <b val="true"/>
      <sz val="10"/>
      <name val="Arial"/>
      <family val="2"/>
      <charset val="1"/>
    </font>
    <font>
      <b val="true"/>
      <sz val="10"/>
      <name val="Calibri"/>
      <family val="2"/>
      <charset val="1"/>
    </font>
    <font>
      <sz val="10"/>
      <color rgb="FF000000"/>
      <name val="Ubuntu Sans"/>
      <family val="2"/>
      <charset val="1"/>
    </font>
  </fonts>
  <fills count="5">
    <fill>
      <patternFill patternType="none"/>
    </fill>
    <fill>
      <patternFill patternType="gray125"/>
    </fill>
    <fill>
      <patternFill patternType="solid">
        <fgColor rgb="FFD4EA6B"/>
        <bgColor rgb="FFCCFFCC"/>
      </patternFill>
    </fill>
    <fill>
      <patternFill patternType="solid">
        <fgColor rgb="FFDDDDDD"/>
        <bgColor rgb="FFFFD8CE"/>
      </patternFill>
    </fill>
    <fill>
      <patternFill patternType="solid">
        <fgColor rgb="FFFFD8CE"/>
        <bgColor rgb="FFDDDDDD"/>
      </patternFill>
    </fill>
  </fills>
  <borders count="2">
    <border diagonalUp="false" diagonalDown="false">
      <left/>
      <right/>
      <top/>
      <bottom/>
      <diagonal/>
    </border>
    <border diagonalUp="false" diagonalDown="false">
      <left/>
      <right/>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7" fillId="0" borderId="0" xfId="20" applyFont="true" applyBorder="tru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2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tru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5" fontId="6" fillId="0" borderId="0" xfId="0" applyFont="true" applyBorder="false" applyAlignment="true" applyProtection="true">
      <alignment horizontal="left" vertical="top" textRotation="0" wrapText="false" indent="0" shrinkToFit="false"/>
      <protection locked="true" hidden="false"/>
    </xf>
    <xf numFmtId="164" fontId="5" fillId="4" borderId="0" xfId="0" applyFont="true" applyBorder="false" applyAlignment="true" applyProtection="true">
      <alignment horizontal="left"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2" fillId="2" borderId="1" xfId="0" applyFont="true" applyBorder="true" applyAlignment="true" applyProtection="true">
      <alignment horizontal="center" vertical="center" textRotation="0" wrapText="true" indent="0" shrinkToFit="false"/>
      <protection locked="true" hidden="false"/>
    </xf>
    <xf numFmtId="164" fontId="9" fillId="2" borderId="1" xfId="0" applyFont="true" applyBorder="true" applyAlignment="true" applyProtection="true">
      <alignment horizontal="left" vertical="center" textRotation="0" wrapText="true" indent="0" shrinkToFit="false"/>
      <protection locked="true" hidden="false"/>
    </xf>
    <xf numFmtId="164" fontId="9" fillId="3" borderId="1" xfId="0" applyFont="true" applyBorder="true" applyAlignment="true" applyProtection="true">
      <alignment horizontal="left"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righ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Hyperlink 1" xfId="21"/>
    <cellStyle name="*unknown*" xfId="20" builtinId="8"/>
  </cellStyles>
  <dxfs count="5">
    <dxf>
      <fill>
        <patternFill patternType="solid">
          <fgColor rgb="FFD4EA6B"/>
          <bgColor rgb="FF000000"/>
        </patternFill>
      </fill>
    </dxf>
    <dxf>
      <fill>
        <patternFill patternType="solid">
          <bgColor rgb="FF000000"/>
        </patternFill>
      </fill>
    </dxf>
    <dxf>
      <fill>
        <patternFill patternType="solid">
          <fgColor rgb="FF000000"/>
          <bgColor rgb="FF000000"/>
        </patternFill>
      </fill>
    </dxf>
    <dxf>
      <fill>
        <patternFill patternType="solid">
          <fgColor rgb="FFDDDDDD"/>
          <bgColor rgb="FF000000"/>
        </patternFill>
      </fill>
    </dxf>
    <dxf>
      <fill>
        <patternFill patternType="solid">
          <fgColor rgb="FFFFD8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D8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42"/>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7" activeCellId="0" sqref="A7"/>
    </sheetView>
  </sheetViews>
  <sheetFormatPr defaultColWidth="11.4296875" defaultRowHeight="15" customHeight="true" zeroHeight="false" outlineLevelRow="0" outlineLevelCol="0"/>
  <cols>
    <col collapsed="false" customWidth="true" hidden="false" outlineLevel="0" max="1" min="1" style="1" width="48.65"/>
    <col collapsed="false" customWidth="true" hidden="false" outlineLevel="0" max="2" min="2" style="2" width="16.93"/>
    <col collapsed="false" customWidth="true" hidden="false" outlineLevel="0" max="3" min="3" style="2" width="28.06"/>
    <col collapsed="false" customWidth="true" hidden="false" outlineLevel="0" max="4" min="4" style="2" width="30.64"/>
    <col collapsed="false" customWidth="true" hidden="false" outlineLevel="0" max="5" min="5" style="2" width="58.58"/>
    <col collapsed="false" customWidth="true" hidden="false" outlineLevel="0" max="6" min="6" style="3" width="27.21"/>
    <col collapsed="false" customWidth="true" hidden="false" outlineLevel="0" max="7" min="7" style="3" width="49.03"/>
    <col collapsed="false" customWidth="true" hidden="false" outlineLevel="0" max="8" min="8" style="1" width="19.86"/>
    <col collapsed="false" customWidth="true" hidden="false" outlineLevel="0" max="9" min="9" style="1" width="51.01"/>
    <col collapsed="false" customWidth="true" hidden="false" outlineLevel="0" max="10" min="10" style="1" width="21.57"/>
    <col collapsed="false" customWidth="true" hidden="false" outlineLevel="0" max="11" min="11" style="1" width="25.39"/>
    <col collapsed="false" customWidth="true" hidden="false" outlineLevel="0" max="12" min="12" style="1" width="23"/>
    <col collapsed="false" customWidth="true" hidden="false" outlineLevel="0" max="14" min="13" style="1" width="35.86"/>
    <col collapsed="false" customWidth="true" hidden="false" outlineLevel="0" max="15" min="15" style="1" width="38.89"/>
    <col collapsed="false" customWidth="true" hidden="false" outlineLevel="0" max="16" min="16" style="3" width="66.07"/>
    <col collapsed="false" customWidth="true" hidden="false" outlineLevel="0" max="17" min="17" style="3" width="62.51"/>
    <col collapsed="false" customWidth="false" hidden="false" outlineLevel="0" max="16384" min="19" style="4" width="11.43"/>
  </cols>
  <sheetData>
    <row r="1" customFormat="false" ht="15" hidden="false" customHeight="false" outlineLevel="0" collapsed="false">
      <c r="A1" s="5" t="s">
        <v>0</v>
      </c>
      <c r="B1" s="6" t="s">
        <v>1</v>
      </c>
      <c r="C1" s="7"/>
      <c r="D1" s="8"/>
      <c r="E1" s="9"/>
      <c r="F1" s="10" t="s">
        <v>2</v>
      </c>
      <c r="G1" s="11"/>
      <c r="H1" s="11"/>
      <c r="I1" s="11"/>
      <c r="J1" s="11"/>
      <c r="K1" s="11"/>
      <c r="L1" s="11"/>
      <c r="M1" s="11"/>
      <c r="N1" s="11"/>
      <c r="O1" s="11"/>
      <c r="P1" s="11"/>
      <c r="Q1" s="11"/>
    </row>
    <row r="2" customFormat="false" ht="25.75" hidden="false" customHeight="false" outlineLevel="0" collapsed="false">
      <c r="A2" s="5" t="s">
        <v>3</v>
      </c>
      <c r="B2" s="12" t="s">
        <v>4</v>
      </c>
      <c r="C2" s="7"/>
      <c r="D2" s="9"/>
      <c r="E2" s="9"/>
      <c r="F2" s="13" t="s">
        <v>5</v>
      </c>
      <c r="G2" s="11"/>
      <c r="H2" s="11"/>
      <c r="I2" s="11"/>
      <c r="J2" s="11"/>
      <c r="K2" s="11"/>
      <c r="L2" s="11"/>
      <c r="M2" s="11"/>
      <c r="N2" s="11"/>
      <c r="O2" s="14" t="s">
        <v>6</v>
      </c>
      <c r="P2" s="15" t="s">
        <v>7</v>
      </c>
      <c r="Q2" s="15" t="s">
        <v>7</v>
      </c>
    </row>
    <row r="3" customFormat="false" ht="15" hidden="false" customHeight="false" outlineLevel="0" collapsed="false">
      <c r="A3" s="5" t="s">
        <v>8</v>
      </c>
      <c r="B3" s="12" t="s">
        <v>9</v>
      </c>
      <c r="C3" s="7"/>
      <c r="D3" s="9"/>
      <c r="E3" s="9"/>
      <c r="F3" s="16" t="s">
        <v>10</v>
      </c>
      <c r="G3" s="11"/>
      <c r="H3" s="11"/>
      <c r="I3" s="11"/>
      <c r="J3" s="11"/>
      <c r="K3" s="11"/>
      <c r="L3" s="11"/>
      <c r="M3" s="11"/>
      <c r="N3" s="11"/>
      <c r="O3" s="14"/>
      <c r="P3" s="15"/>
      <c r="Q3" s="15"/>
    </row>
    <row r="4" customFormat="false" ht="15" hidden="false" customHeight="false" outlineLevel="0" collapsed="false">
      <c r="A4" s="5" t="s">
        <v>11</v>
      </c>
      <c r="B4" s="7" t="s">
        <v>12</v>
      </c>
      <c r="C4" s="9" t="str">
        <f aca="false">CONCATENATE($B$1, "/")</f>
        <v>http://w3id.org/arkumu/project-categories/</v>
      </c>
      <c r="D4" s="0"/>
      <c r="E4" s="9"/>
      <c r="F4" s="11"/>
      <c r="G4" s="11"/>
      <c r="H4" s="11"/>
      <c r="I4" s="11"/>
      <c r="J4" s="11"/>
      <c r="K4" s="11"/>
      <c r="L4" s="11"/>
      <c r="M4" s="11"/>
      <c r="N4" s="11"/>
      <c r="O4" s="11"/>
      <c r="P4" s="11"/>
      <c r="Q4" s="11"/>
    </row>
    <row r="5" customFormat="false" ht="15" hidden="false" customHeight="false" outlineLevel="0" collapsed="false">
      <c r="A5" s="5" t="s">
        <v>13</v>
      </c>
      <c r="B5" s="17" t="s">
        <v>1</v>
      </c>
      <c r="C5" s="7"/>
      <c r="D5" s="9"/>
      <c r="E5" s="9"/>
      <c r="F5" s="11"/>
      <c r="G5" s="11"/>
      <c r="H5" s="11"/>
      <c r="I5" s="11"/>
      <c r="J5" s="11"/>
      <c r="K5" s="11"/>
      <c r="L5" s="11"/>
      <c r="M5" s="11"/>
      <c r="N5" s="11"/>
      <c r="O5" s="11"/>
      <c r="P5" s="11"/>
      <c r="Q5" s="11"/>
    </row>
    <row r="6" customFormat="false" ht="15" hidden="false" customHeight="false" outlineLevel="0" collapsed="false">
      <c r="A6" s="5" t="s">
        <v>14</v>
      </c>
      <c r="B6" s="18" t="s">
        <v>15</v>
      </c>
      <c r="C6" s="18"/>
      <c r="D6" s="11"/>
      <c r="E6" s="11"/>
      <c r="F6" s="11"/>
      <c r="G6" s="11"/>
      <c r="H6" s="11"/>
      <c r="I6" s="11"/>
      <c r="J6" s="11"/>
      <c r="K6" s="11"/>
      <c r="L6" s="11"/>
      <c r="M6" s="11"/>
      <c r="N6" s="11"/>
      <c r="O6" s="11"/>
      <c r="P6" s="11"/>
      <c r="Q6" s="11"/>
    </row>
    <row r="7" customFormat="false" ht="15" hidden="false" customHeight="false" outlineLevel="0" collapsed="false">
      <c r="A7" s="5" t="s">
        <v>16</v>
      </c>
      <c r="B7" s="7" t="s">
        <v>17</v>
      </c>
      <c r="C7" s="18"/>
      <c r="D7" s="11"/>
      <c r="E7" s="11"/>
      <c r="F7" s="11"/>
      <c r="G7" s="11"/>
      <c r="H7" s="11"/>
      <c r="I7" s="11"/>
      <c r="J7" s="11"/>
      <c r="K7" s="11"/>
      <c r="L7" s="11"/>
      <c r="M7" s="11"/>
      <c r="N7" s="11"/>
      <c r="O7" s="11"/>
      <c r="P7" s="11"/>
      <c r="Q7" s="11"/>
    </row>
    <row r="8" customFormat="false" ht="15" hidden="false" customHeight="false" outlineLevel="0" collapsed="false">
      <c r="A8" s="5" t="s">
        <v>18</v>
      </c>
      <c r="B8" s="19" t="n">
        <v>46183</v>
      </c>
      <c r="C8" s="18"/>
      <c r="D8" s="11"/>
      <c r="E8" s="11"/>
      <c r="F8" s="11"/>
      <c r="G8" s="11"/>
      <c r="H8" s="11"/>
      <c r="I8" s="11"/>
      <c r="J8" s="11"/>
      <c r="K8" s="11"/>
      <c r="L8" s="11"/>
      <c r="M8" s="11"/>
      <c r="N8" s="11"/>
      <c r="O8" s="11"/>
      <c r="P8" s="11"/>
      <c r="Q8" s="11"/>
    </row>
    <row r="9" customFormat="false" ht="15" hidden="false" customHeight="false" outlineLevel="0" collapsed="false">
      <c r="A9" s="5" t="s">
        <v>19</v>
      </c>
      <c r="B9" s="20" t="s">
        <v>20</v>
      </c>
      <c r="C9" s="18"/>
      <c r="D9" s="11"/>
      <c r="E9" s="11"/>
      <c r="F9" s="11"/>
      <c r="G9" s="11"/>
      <c r="H9" s="11"/>
      <c r="I9" s="11"/>
      <c r="J9" s="11"/>
      <c r="K9" s="11"/>
      <c r="L9" s="11"/>
      <c r="M9" s="11"/>
      <c r="N9" s="11"/>
      <c r="O9" s="11"/>
      <c r="P9" s="11"/>
      <c r="Q9" s="11"/>
    </row>
    <row r="10" customFormat="false" ht="15" hidden="false" customHeight="false" outlineLevel="0" collapsed="false">
      <c r="A10" s="5" t="s">
        <v>21</v>
      </c>
      <c r="B10" s="7" t="s">
        <v>22</v>
      </c>
      <c r="C10" s="18"/>
      <c r="D10" s="11"/>
      <c r="E10" s="11"/>
      <c r="F10" s="11"/>
      <c r="G10" s="11"/>
      <c r="H10" s="11"/>
      <c r="I10" s="11"/>
      <c r="J10" s="11"/>
      <c r="K10" s="11"/>
      <c r="L10" s="11"/>
      <c r="M10" s="11"/>
      <c r="N10" s="11"/>
      <c r="O10" s="11"/>
      <c r="P10" s="11"/>
      <c r="Q10" s="11"/>
    </row>
    <row r="11" customFormat="false" ht="15" hidden="false" customHeight="false" outlineLevel="0" collapsed="false">
      <c r="A11" s="11"/>
      <c r="B11" s="18"/>
      <c r="C11" s="18"/>
      <c r="D11" s="11"/>
      <c r="E11" s="11"/>
      <c r="F11" s="11"/>
      <c r="G11" s="11"/>
      <c r="H11" s="11"/>
      <c r="I11" s="11"/>
      <c r="J11" s="11"/>
      <c r="K11" s="11"/>
      <c r="L11" s="11"/>
      <c r="M11" s="11"/>
      <c r="N11" s="11"/>
      <c r="O11" s="11"/>
      <c r="P11" s="11"/>
      <c r="Q11" s="11"/>
    </row>
    <row r="12" customFormat="false" ht="15" hidden="false" customHeight="false" outlineLevel="0" collapsed="false">
      <c r="A12" s="11"/>
      <c r="B12" s="18"/>
      <c r="C12" s="18"/>
      <c r="D12" s="21"/>
      <c r="E12" s="11"/>
      <c r="F12" s="11"/>
      <c r="G12" s="11"/>
      <c r="H12" s="11"/>
      <c r="I12" s="11"/>
      <c r="J12" s="11"/>
      <c r="K12" s="11"/>
      <c r="L12" s="11"/>
      <c r="M12" s="11"/>
      <c r="N12" s="11"/>
      <c r="O12" s="11"/>
      <c r="P12" s="11"/>
      <c r="Q12" s="11"/>
    </row>
    <row r="13" customFormat="false" ht="15" hidden="false" customHeight="false" outlineLevel="0" collapsed="false">
      <c r="A13" s="11"/>
      <c r="B13" s="18"/>
      <c r="C13" s="18"/>
      <c r="D13" s="11"/>
      <c r="E13" s="11"/>
      <c r="F13" s="11"/>
      <c r="G13" s="11"/>
      <c r="H13" s="11"/>
      <c r="I13" s="11"/>
      <c r="J13" s="11"/>
      <c r="K13" s="11"/>
      <c r="L13" s="11"/>
      <c r="M13" s="11"/>
      <c r="N13" s="11"/>
      <c r="O13" s="11"/>
      <c r="P13" s="11"/>
      <c r="Q13" s="11"/>
    </row>
    <row r="14" customFormat="false" ht="15" hidden="false" customHeight="false" outlineLevel="0" collapsed="false">
      <c r="A14" s="11"/>
      <c r="B14" s="18"/>
      <c r="C14" s="18"/>
      <c r="D14" s="11"/>
      <c r="E14" s="11"/>
      <c r="F14" s="11"/>
      <c r="G14" s="11"/>
      <c r="H14" s="11"/>
      <c r="I14" s="11"/>
      <c r="J14" s="11"/>
      <c r="K14" s="11"/>
      <c r="L14" s="11"/>
      <c r="M14" s="11"/>
      <c r="N14" s="11"/>
      <c r="O14" s="11"/>
      <c r="P14" s="11"/>
      <c r="Q14" s="11"/>
    </row>
    <row r="15" customFormat="false" ht="15" hidden="false" customHeight="false" outlineLevel="0" collapsed="false">
      <c r="A15" s="22" t="s">
        <v>23</v>
      </c>
      <c r="B15" s="2" t="s">
        <v>24</v>
      </c>
      <c r="C15" s="2" t="s">
        <v>25</v>
      </c>
      <c r="D15" s="3" t="s">
        <v>26</v>
      </c>
      <c r="E15" s="3" t="s">
        <v>27</v>
      </c>
      <c r="F15" s="3" t="s">
        <v>28</v>
      </c>
      <c r="G15" s="3" t="s">
        <v>29</v>
      </c>
      <c r="H15" s="1" t="s">
        <v>30</v>
      </c>
      <c r="I15" s="23" t="s">
        <v>31</v>
      </c>
      <c r="J15" s="1" t="s">
        <v>32</v>
      </c>
      <c r="K15" s="24" t="s">
        <v>33</v>
      </c>
      <c r="L15" s="1" t="s">
        <v>34</v>
      </c>
      <c r="M15" s="23" t="s">
        <v>35</v>
      </c>
      <c r="N15" s="1" t="s">
        <v>36</v>
      </c>
      <c r="O15" s="23" t="s">
        <v>37</v>
      </c>
      <c r="P15" s="3" t="s">
        <v>38</v>
      </c>
      <c r="Q15" s="3" t="s">
        <v>39</v>
      </c>
    </row>
    <row r="16" customFormat="false" ht="15" hidden="false" customHeight="false" outlineLevel="0" collapsed="false">
      <c r="A16" s="2"/>
      <c r="D16" s="3"/>
      <c r="E16" s="3"/>
      <c r="K16" s="3"/>
      <c r="O16" s="3"/>
    </row>
    <row r="17" customFormat="false" ht="25.75" hidden="false" customHeight="false" outlineLevel="0" collapsed="false">
      <c r="A17" s="25" t="s">
        <v>23</v>
      </c>
      <c r="B17" s="25" t="s">
        <v>40</v>
      </c>
      <c r="C17" s="25" t="s">
        <v>41</v>
      </c>
      <c r="D17" s="23" t="s">
        <v>42</v>
      </c>
      <c r="E17" s="23" t="s">
        <v>43</v>
      </c>
      <c r="F17" s="23" t="s">
        <v>44</v>
      </c>
      <c r="G17" s="23" t="s">
        <v>45</v>
      </c>
      <c r="H17" s="26" t="s">
        <v>46</v>
      </c>
      <c r="I17" s="23" t="s">
        <v>47</v>
      </c>
      <c r="J17" s="26" t="s">
        <v>46</v>
      </c>
      <c r="K17" s="23" t="s">
        <v>47</v>
      </c>
      <c r="L17" s="26" t="s">
        <v>46</v>
      </c>
      <c r="M17" s="23" t="s">
        <v>47</v>
      </c>
      <c r="N17" s="26" t="s">
        <v>46</v>
      </c>
      <c r="O17" s="23" t="s">
        <v>47</v>
      </c>
      <c r="P17" s="27" t="s">
        <v>46</v>
      </c>
      <c r="Q17" s="27" t="s">
        <v>46</v>
      </c>
    </row>
    <row r="18" s="11" customFormat="true" ht="15" hidden="false" customHeight="false" outlineLevel="0" collapsed="false">
      <c r="A18" s="9" t="s">
        <v>48</v>
      </c>
      <c r="B18" s="18" t="n">
        <v>1</v>
      </c>
      <c r="C18" s="18"/>
      <c r="D18" s="9" t="s">
        <v>49</v>
      </c>
      <c r="E18" s="9" t="s">
        <v>50</v>
      </c>
      <c r="F18" s="9" t="s">
        <v>51</v>
      </c>
      <c r="G18" s="9" t="s">
        <v>52</v>
      </c>
      <c r="H18" s="9" t="s">
        <v>53</v>
      </c>
      <c r="I18" s="11" t="str">
        <f aca="false">CONCATENATE("http://www.wikidata.org/entity/",H18)</f>
        <v>http://www.wikidata.org/entity/Q591041</v>
      </c>
      <c r="J18" s="9" t="s">
        <v>54</v>
      </c>
      <c r="K18" s="11" t="str">
        <f aca="false">CONCATENATE("https://d-nb.info/gnd/",J18)</f>
        <v>https://d-nb.info/gnd/4066586-0</v>
      </c>
      <c r="P18" s="9" t="s">
        <v>51</v>
      </c>
      <c r="Q18" s="9" t="s">
        <v>49</v>
      </c>
      <c r="R18" s="0"/>
    </row>
    <row r="19" s="11" customFormat="true" ht="15" hidden="false" customHeight="false" outlineLevel="0" collapsed="false">
      <c r="A19" s="9" t="s">
        <v>55</v>
      </c>
      <c r="B19" s="18" t="n">
        <v>2</v>
      </c>
      <c r="C19" s="18" t="n">
        <v>1</v>
      </c>
      <c r="D19" s="9" t="s">
        <v>56</v>
      </c>
      <c r="E19" s="9" t="s">
        <v>57</v>
      </c>
      <c r="F19" s="9" t="s">
        <v>58</v>
      </c>
      <c r="G19" s="9" t="s">
        <v>59</v>
      </c>
      <c r="H19" s="9" t="s">
        <v>60</v>
      </c>
      <c r="I19" s="11" t="str">
        <f aca="false">CONCATENATE("http://www.wikidata.org/entity/",H19)</f>
        <v>http://www.wikidata.org/entity/Q187685</v>
      </c>
      <c r="J19" s="9" t="s">
        <v>61</v>
      </c>
      <c r="K19" s="11" t="str">
        <f aca="false">CONCATENATE("https://d-nb.info/gnd/",J19)</f>
        <v>https://d-nb.info/gnd/4012494-0</v>
      </c>
      <c r="L19" s="11" t="n">
        <v>300312076</v>
      </c>
      <c r="M19" s="11" t="str">
        <f aca="false">CONCATENATE("https://vocab.getty.edu/aat/",L19)</f>
        <v>https://vocab.getty.edu/aat/300312076</v>
      </c>
      <c r="P19" s="9" t="s">
        <v>62</v>
      </c>
      <c r="Q19" s="9" t="s">
        <v>63</v>
      </c>
      <c r="R19" s="0"/>
    </row>
    <row r="20" s="11" customFormat="true" ht="15" hidden="false" customHeight="false" outlineLevel="0" collapsed="false">
      <c r="A20" s="9" t="s">
        <v>64</v>
      </c>
      <c r="B20" s="18" t="n">
        <v>3</v>
      </c>
      <c r="C20" s="18" t="n">
        <v>1</v>
      </c>
      <c r="D20" s="9" t="s">
        <v>65</v>
      </c>
      <c r="F20" s="9" t="s">
        <v>65</v>
      </c>
      <c r="H20" s="9" t="s">
        <v>66</v>
      </c>
      <c r="I20" s="11" t="str">
        <f aca="false">CONCATENATE("http://www.wikidata.org/entity/",H20)</f>
        <v>http://www.wikidata.org/entity/Q20899</v>
      </c>
      <c r="J20" s="9" t="s">
        <v>67</v>
      </c>
      <c r="K20" s="11" t="str">
        <f aca="false">CONCATENATE("https://d-nb.info/gnd/",J20)</f>
        <v>https://d-nb.info/gnd/7527248-9</v>
      </c>
      <c r="L20" s="11" t="n">
        <v>300310137</v>
      </c>
      <c r="M20" s="11" t="str">
        <f aca="false">CONCATENATE("https://vocab.getty.edu/aat/",L20)</f>
        <v>https://vocab.getty.edu/aat/300310137</v>
      </c>
      <c r="P20" s="9" t="s">
        <v>68</v>
      </c>
      <c r="Q20" s="9" t="s">
        <v>69</v>
      </c>
      <c r="R20" s="0"/>
    </row>
    <row r="21" s="11" customFormat="true" ht="15" hidden="false" customHeight="false" outlineLevel="0" collapsed="false">
      <c r="A21" s="9" t="s">
        <v>70</v>
      </c>
      <c r="B21" s="18" t="n">
        <v>4</v>
      </c>
      <c r="C21" s="18" t="n">
        <v>1</v>
      </c>
      <c r="D21" s="9" t="s">
        <v>71</v>
      </c>
      <c r="F21" s="9" t="s">
        <v>72</v>
      </c>
      <c r="H21" s="9" t="s">
        <v>73</v>
      </c>
      <c r="I21" s="11" t="str">
        <f aca="false">CONCATENATE("http://www.wikidata.org/entity/",H21)</f>
        <v>http://www.wikidata.org/entity/Q35127</v>
      </c>
      <c r="J21" s="9" t="s">
        <v>74</v>
      </c>
      <c r="K21" s="11" t="str">
        <f aca="false">CONCATENATE("https://d-nb.info/gnd/",J21)</f>
        <v>https://d-nb.info/gnd/4596172-4</v>
      </c>
      <c r="L21" s="11" t="n">
        <v>300265431</v>
      </c>
      <c r="M21" s="11" t="str">
        <f aca="false">CONCATENATE("https://vocab.getty.edu/aat/",L21)</f>
        <v>https://vocab.getty.edu/aat/300265431</v>
      </c>
      <c r="P21" s="9" t="s">
        <v>75</v>
      </c>
      <c r="Q21" s="9" t="s">
        <v>76</v>
      </c>
      <c r="R21" s="0"/>
    </row>
    <row r="22" s="11" customFormat="true" ht="15" hidden="false" customHeight="false" outlineLevel="0" collapsed="false">
      <c r="A22" s="9" t="s">
        <v>77</v>
      </c>
      <c r="B22" s="18" t="n">
        <v>5</v>
      </c>
      <c r="C22" s="18"/>
      <c r="D22" s="9" t="s">
        <v>78</v>
      </c>
      <c r="F22" s="9" t="s">
        <v>79</v>
      </c>
      <c r="G22" s="9" t="s">
        <v>80</v>
      </c>
      <c r="H22" s="9" t="s">
        <v>81</v>
      </c>
      <c r="I22" s="11" t="str">
        <f aca="false">CONCATENATE("http://www.wikidata.org/entity/",H22)</f>
        <v>http://www.wikidata.org/entity/Q207241</v>
      </c>
      <c r="J22" s="9" t="s">
        <v>82</v>
      </c>
      <c r="K22" s="11" t="str">
        <f aca="false">CONCATENATE("https://d-nb.info/gnd/",J22)</f>
        <v>https://d-nb.info/gnd/7593577-6</v>
      </c>
      <c r="L22" s="11" t="n">
        <v>300054168</v>
      </c>
      <c r="M22" s="11" t="str">
        <f aca="false">CONCATENATE("https://vocab.getty.edu/aat/",L22)</f>
        <v>https://vocab.getty.edu/aat/300054168</v>
      </c>
      <c r="P22" s="9" t="s">
        <v>79</v>
      </c>
      <c r="Q22" s="9" t="s">
        <v>78</v>
      </c>
      <c r="R22" s="0"/>
    </row>
    <row r="23" s="11" customFormat="true" ht="15" hidden="false" customHeight="false" outlineLevel="0" collapsed="false">
      <c r="A23" s="9" t="s">
        <v>83</v>
      </c>
      <c r="B23" s="18" t="n">
        <v>6</v>
      </c>
      <c r="C23" s="18" t="n">
        <v>5</v>
      </c>
      <c r="D23" s="9" t="s">
        <v>84</v>
      </c>
      <c r="F23" s="9" t="s">
        <v>85</v>
      </c>
      <c r="H23" s="9" t="s">
        <v>86</v>
      </c>
      <c r="I23" s="11" t="str">
        <f aca="false">CONCATENATE("http://www.wikidata.org/entity/",H23)</f>
        <v>http://www.wikidata.org/entity/Q12271</v>
      </c>
      <c r="J23" s="9" t="s">
        <v>87</v>
      </c>
      <c r="K23" s="11" t="str">
        <f aca="false">CONCATENATE("https://d-nb.info/gnd/",J23)</f>
        <v>https://d-nb.info/gnd/4002851-3</v>
      </c>
      <c r="L23" s="11" t="n">
        <v>300054156</v>
      </c>
      <c r="M23" s="11" t="str">
        <f aca="false">CONCATENATE("https://vocab.getty.edu/aat/",L23)</f>
        <v>https://vocab.getty.edu/aat/300054156</v>
      </c>
      <c r="P23" s="9" t="s">
        <v>88</v>
      </c>
      <c r="Q23" s="9" t="s">
        <v>89</v>
      </c>
      <c r="R23" s="0"/>
    </row>
    <row r="24" s="11" customFormat="true" ht="15" hidden="false" customHeight="false" outlineLevel="0" collapsed="false">
      <c r="A24" s="9" t="s">
        <v>90</v>
      </c>
      <c r="B24" s="18" t="n">
        <v>7</v>
      </c>
      <c r="C24" s="18" t="n">
        <v>5</v>
      </c>
      <c r="D24" s="9" t="s">
        <v>91</v>
      </c>
      <c r="F24" s="9" t="s">
        <v>91</v>
      </c>
      <c r="H24" s="9" t="s">
        <v>92</v>
      </c>
      <c r="I24" s="11" t="str">
        <f aca="false">CONCATENATE("http://www.wikidata.org/entity/",H24)</f>
        <v>http://www.wikidata.org/entity/Q82604</v>
      </c>
      <c r="J24" s="9" t="s">
        <v>93</v>
      </c>
      <c r="K24" s="11" t="str">
        <f aca="false">CONCATENATE("https://d-nb.info/gnd/",J24)</f>
        <v>https://d-nb.info/gnd/4011510-0</v>
      </c>
      <c r="L24" s="11" t="n">
        <v>300054171</v>
      </c>
      <c r="M24" s="11" t="str">
        <f aca="false">CONCATENATE("https://vocab.getty.edu/aat/",L24)</f>
        <v>https://vocab.getty.edu/aat/300054171</v>
      </c>
      <c r="P24" s="9" t="s">
        <v>94</v>
      </c>
      <c r="Q24" s="9" t="s">
        <v>95</v>
      </c>
      <c r="R24" s="0"/>
    </row>
    <row r="25" s="11" customFormat="true" ht="15" hidden="false" customHeight="false" outlineLevel="0" collapsed="false">
      <c r="A25" s="9" t="s">
        <v>96</v>
      </c>
      <c r="B25" s="18" t="n">
        <v>8</v>
      </c>
      <c r="C25" s="18" t="n">
        <v>7</v>
      </c>
      <c r="D25" s="9" t="s">
        <v>97</v>
      </c>
      <c r="E25" s="9" t="s">
        <v>98</v>
      </c>
      <c r="F25" s="9" t="s">
        <v>97</v>
      </c>
      <c r="H25" s="9" t="s">
        <v>99</v>
      </c>
      <c r="I25" s="11" t="str">
        <f aca="false">CONCATENATE("http://www.wikidata.org/entity/",H25)</f>
        <v>http://www.wikidata.org/entity/Q858057</v>
      </c>
      <c r="P25" s="9" t="s">
        <v>100</v>
      </c>
      <c r="Q25" s="9" t="s">
        <v>101</v>
      </c>
      <c r="R25" s="0"/>
    </row>
    <row r="26" s="11" customFormat="true" ht="15" hidden="false" customHeight="false" outlineLevel="0" collapsed="false">
      <c r="A26" s="9" t="s">
        <v>102</v>
      </c>
      <c r="B26" s="18" t="n">
        <v>9</v>
      </c>
      <c r="C26" s="18" t="n">
        <v>7</v>
      </c>
      <c r="D26" s="9" t="s">
        <v>103</v>
      </c>
      <c r="E26" s="9" t="s">
        <v>104</v>
      </c>
      <c r="F26" s="9" t="s">
        <v>103</v>
      </c>
      <c r="G26" s="9" t="s">
        <v>105</v>
      </c>
      <c r="H26" s="9" t="s">
        <v>106</v>
      </c>
      <c r="I26" s="11" t="str">
        <f aca="false">CONCATENATE("http://www.wikidata.org/entity/",H26)</f>
        <v>http://www.wikidata.org/entity/Q243606</v>
      </c>
      <c r="J26" s="9" t="s">
        <v>107</v>
      </c>
      <c r="K26" s="11" t="str">
        <f aca="false">CONCATENATE("https://d-nb.info/gnd/",J26)</f>
        <v>https://d-nb.info/gnd/4072788-9</v>
      </c>
      <c r="L26" s="11" t="n">
        <v>300054183</v>
      </c>
      <c r="M26" s="11" t="str">
        <f aca="false">CONCATENATE("https://vocab.getty.edu/aat/",L26)</f>
        <v>https://vocab.getty.edu/aat/300054183</v>
      </c>
      <c r="P26" s="9" t="s">
        <v>108</v>
      </c>
      <c r="Q26" s="9" t="s">
        <v>109</v>
      </c>
      <c r="R26" s="0"/>
    </row>
    <row r="27" s="11" customFormat="true" ht="15" hidden="false" customHeight="false" outlineLevel="0" collapsed="false">
      <c r="A27" s="9" t="s">
        <v>110</v>
      </c>
      <c r="B27" s="18" t="n">
        <v>10</v>
      </c>
      <c r="C27" s="18" t="n">
        <v>7</v>
      </c>
      <c r="D27" s="9" t="s">
        <v>111</v>
      </c>
      <c r="F27" s="9" t="s">
        <v>112</v>
      </c>
      <c r="G27" s="9" t="s">
        <v>113</v>
      </c>
      <c r="H27" s="9" t="s">
        <v>114</v>
      </c>
      <c r="I27" s="11" t="str">
        <f aca="false">CONCATENATE("http://www.wikidata.org/entity/",H27)</f>
        <v>http://www.wikidata.org/entity/Q179232</v>
      </c>
      <c r="J27" s="9" t="s">
        <v>115</v>
      </c>
      <c r="K27" s="11" t="str">
        <f aca="false">CONCATENATE("https://d-nb.info/gnd/",J27)</f>
        <v>https://d-nb.info/gnd/4072819-5</v>
      </c>
      <c r="L27" s="11" t="n">
        <v>300054184</v>
      </c>
      <c r="M27" s="11" t="str">
        <f aca="false">CONCATENATE("https://vocab.getty.edu/aat/",L27)</f>
        <v>https://vocab.getty.edu/aat/300054184</v>
      </c>
      <c r="P27" s="9" t="s">
        <v>116</v>
      </c>
      <c r="Q27" s="9" t="s">
        <v>117</v>
      </c>
      <c r="R27" s="0"/>
    </row>
    <row r="28" s="11" customFormat="true" ht="15" hidden="false" customHeight="false" outlineLevel="0" collapsed="false">
      <c r="A28" s="9" t="s">
        <v>118</v>
      </c>
      <c r="B28" s="18" t="n">
        <v>11</v>
      </c>
      <c r="C28" s="18" t="n">
        <v>7</v>
      </c>
      <c r="D28" s="9" t="s">
        <v>119</v>
      </c>
      <c r="E28" s="9" t="s">
        <v>120</v>
      </c>
      <c r="F28" s="9" t="s">
        <v>121</v>
      </c>
      <c r="G28" s="9" t="s">
        <v>122</v>
      </c>
      <c r="H28" s="9" t="s">
        <v>123</v>
      </c>
      <c r="I28" s="11" t="str">
        <f aca="false">CONCATENATE("http://www.wikidata.org/entity/",H28)</f>
        <v>http://www.wikidata.org/entity/Q185925</v>
      </c>
      <c r="J28" s="9" t="s">
        <v>124</v>
      </c>
      <c r="K28" s="11" t="str">
        <f aca="false">CONCATENATE("https://d-nb.info/gnd/",J28)</f>
        <v>https://d-nb.info/gnd/4304892-4</v>
      </c>
      <c r="L28" s="11" t="n">
        <v>300054181</v>
      </c>
      <c r="M28" s="11" t="str">
        <f aca="false">CONCATENATE("https://vocab.getty.edu/aat/",L28)</f>
        <v>https://vocab.getty.edu/aat/300054181</v>
      </c>
      <c r="P28" s="9" t="s">
        <v>125</v>
      </c>
      <c r="Q28" s="9" t="s">
        <v>126</v>
      </c>
      <c r="R28" s="0"/>
    </row>
    <row r="29" s="11" customFormat="true" ht="15" hidden="false" customHeight="false" outlineLevel="0" collapsed="false">
      <c r="A29" s="9" t="s">
        <v>127</v>
      </c>
      <c r="B29" s="18" t="n">
        <v>12</v>
      </c>
      <c r="C29" s="18" t="n">
        <v>7</v>
      </c>
      <c r="D29" s="9" t="s">
        <v>128</v>
      </c>
      <c r="F29" s="9" t="s">
        <v>129</v>
      </c>
      <c r="G29" s="9" t="s">
        <v>130</v>
      </c>
      <c r="H29" s="9" t="s">
        <v>131</v>
      </c>
      <c r="I29" s="11" t="str">
        <f aca="false">CONCATENATE("http://www.wikidata.org/entity/",H29)</f>
        <v>http://www.wikidata.org/entity/Q1916365</v>
      </c>
      <c r="J29" s="9" t="s">
        <v>132</v>
      </c>
      <c r="K29" s="11" t="str">
        <f aca="false">CONCATENATE("https://d-nb.info/gnd/",J29)</f>
        <v>https://d-nb.info/gnd/4823394-8</v>
      </c>
      <c r="P29" s="9" t="s">
        <v>133</v>
      </c>
      <c r="Q29" s="9" t="s">
        <v>134</v>
      </c>
      <c r="R29" s="0"/>
    </row>
    <row r="30" s="11" customFormat="true" ht="15" hidden="false" customHeight="false" outlineLevel="0" collapsed="false">
      <c r="A30" s="9" t="s">
        <v>135</v>
      </c>
      <c r="B30" s="18" t="n">
        <v>13</v>
      </c>
      <c r="C30" s="18" t="n">
        <v>7</v>
      </c>
      <c r="D30" s="9" t="s">
        <v>136</v>
      </c>
      <c r="F30" s="9" t="s">
        <v>137</v>
      </c>
      <c r="H30" s="9" t="s">
        <v>138</v>
      </c>
      <c r="I30" s="11" t="str">
        <f aca="false">CONCATENATE("http://www.wikidata.org/entity/",H30)</f>
        <v>http://www.wikidata.org/entity/Q29583</v>
      </c>
      <c r="J30" s="9" t="s">
        <v>139</v>
      </c>
      <c r="K30" s="11" t="str">
        <f aca="false">CONCATENATE("https://d-nb.info/gnd/",J30)</f>
        <v>https://d-nb.info/gnd/7510814-8</v>
      </c>
      <c r="L30" s="11" t="n">
        <v>300138708</v>
      </c>
      <c r="M30" s="11" t="str">
        <f aca="false">CONCATENATE("https://vocab.getty.edu/aat/",L30)</f>
        <v>https://vocab.getty.edu/aat/300138708</v>
      </c>
      <c r="P30" s="9" t="s">
        <v>140</v>
      </c>
      <c r="Q30" s="9" t="s">
        <v>141</v>
      </c>
      <c r="R30" s="0"/>
    </row>
    <row r="31" s="11" customFormat="true" ht="15" hidden="false" customHeight="false" outlineLevel="0" collapsed="false">
      <c r="A31" s="9" t="s">
        <v>142</v>
      </c>
      <c r="B31" s="18" t="n">
        <v>14</v>
      </c>
      <c r="C31" s="18" t="n">
        <v>7</v>
      </c>
      <c r="D31" s="9" t="s">
        <v>143</v>
      </c>
      <c r="F31" s="9" t="s">
        <v>144</v>
      </c>
      <c r="G31" s="9" t="s">
        <v>145</v>
      </c>
      <c r="H31" s="9" t="s">
        <v>146</v>
      </c>
      <c r="I31" s="11" t="str">
        <f aca="false">CONCATENATE("http://www.wikidata.org/entity/",H31)</f>
        <v>http://www.wikidata.org/entity/Q1937950</v>
      </c>
      <c r="J31" s="9" t="s">
        <v>147</v>
      </c>
      <c r="K31" s="11" t="str">
        <f aca="false">CONCATENATE("https://d-nb.info/gnd/",J31)</f>
        <v>https://d-nb.info/gnd/7693207-2</v>
      </c>
      <c r="P31" s="9" t="s">
        <v>148</v>
      </c>
      <c r="Q31" s="9" t="s">
        <v>149</v>
      </c>
      <c r="R31" s="0"/>
    </row>
    <row r="32" s="11" customFormat="true" ht="15" hidden="false" customHeight="false" outlineLevel="0" collapsed="false">
      <c r="A32" s="9" t="s">
        <v>150</v>
      </c>
      <c r="B32" s="18" t="n">
        <v>15</v>
      </c>
      <c r="C32" s="18" t="n">
        <v>7</v>
      </c>
      <c r="D32" s="9" t="s">
        <v>151</v>
      </c>
      <c r="F32" s="9" t="s">
        <v>152</v>
      </c>
      <c r="H32" s="9" t="s">
        <v>153</v>
      </c>
      <c r="I32" s="11" t="str">
        <f aca="false">CONCATENATE("http://www.wikidata.org/entity/",H32)</f>
        <v>http://www.wikidata.org/entity/Q763631</v>
      </c>
      <c r="J32" s="9" t="s">
        <v>154</v>
      </c>
      <c r="K32" s="11" t="str">
        <f aca="false">CONCATENATE("https://d-nb.info/gnd/",J32)</f>
        <v>https://d-nb.info/gnd/7506104-1</v>
      </c>
      <c r="L32" s="11" t="n">
        <v>300435243</v>
      </c>
      <c r="M32" s="11" t="str">
        <f aca="false">CONCATENATE("https://vocab.getty.edu/aat/",L32)</f>
        <v>https://vocab.getty.edu/aat/300435243</v>
      </c>
      <c r="P32" s="9" t="s">
        <v>155</v>
      </c>
      <c r="Q32" s="9" t="s">
        <v>156</v>
      </c>
      <c r="R32" s="0"/>
    </row>
    <row r="33" s="11" customFormat="true" ht="15" hidden="false" customHeight="false" outlineLevel="0" collapsed="false">
      <c r="A33" s="9" t="s">
        <v>157</v>
      </c>
      <c r="B33" s="18" t="n">
        <v>16</v>
      </c>
      <c r="C33" s="18" t="n">
        <v>7</v>
      </c>
      <c r="D33" s="9" t="s">
        <v>158</v>
      </c>
      <c r="F33" s="9" t="s">
        <v>158</v>
      </c>
      <c r="H33" s="9" t="s">
        <v>159</v>
      </c>
      <c r="I33" s="11" t="str">
        <f aca="false">CONCATENATE("http://www.wikidata.org/entity/",H33)</f>
        <v>http://www.wikidata.org/entity/Q7834086</v>
      </c>
      <c r="P33" s="9" t="s">
        <v>160</v>
      </c>
      <c r="Q33" s="9" t="s">
        <v>161</v>
      </c>
      <c r="R33" s="0"/>
    </row>
    <row r="34" s="11" customFormat="true" ht="15" hidden="false" customHeight="false" outlineLevel="0" collapsed="false">
      <c r="A34" s="9" t="s">
        <v>162</v>
      </c>
      <c r="B34" s="18" t="n">
        <v>17</v>
      </c>
      <c r="C34" s="18" t="n">
        <v>7</v>
      </c>
      <c r="D34" s="9" t="s">
        <v>163</v>
      </c>
      <c r="E34" s="9" t="s">
        <v>164</v>
      </c>
      <c r="F34" s="9" t="s">
        <v>163</v>
      </c>
      <c r="G34" s="9" t="s">
        <v>165</v>
      </c>
      <c r="H34" s="9" t="s">
        <v>166</v>
      </c>
      <c r="I34" s="11" t="str">
        <f aca="false">CONCATENATE("http://www.wikidata.org/entity/",H34)</f>
        <v>http://www.wikidata.org/entity/Q135707</v>
      </c>
      <c r="P34" s="9" t="s">
        <v>167</v>
      </c>
      <c r="Q34" s="9" t="s">
        <v>168</v>
      </c>
      <c r="R34" s="0"/>
    </row>
    <row r="35" s="11" customFormat="true" ht="15" hidden="false" customHeight="false" outlineLevel="0" collapsed="false">
      <c r="A35" s="9" t="s">
        <v>169</v>
      </c>
      <c r="B35" s="18" t="n">
        <v>18</v>
      </c>
      <c r="C35" s="18" t="n">
        <v>5</v>
      </c>
      <c r="D35" s="9" t="s">
        <v>170</v>
      </c>
      <c r="F35" s="9" t="s">
        <v>171</v>
      </c>
      <c r="H35" s="9" t="s">
        <v>172</v>
      </c>
      <c r="I35" s="11" t="str">
        <f aca="false">CONCATENATE("http://www.wikidata.org/entity/",H35)</f>
        <v>http://www.wikidata.org/entity/Q11633</v>
      </c>
      <c r="J35" s="9" t="s">
        <v>173</v>
      </c>
      <c r="K35" s="11" t="str">
        <f aca="false">CONCATENATE("https://d-nb.info/gnd/",J35)</f>
        <v>https://d-nb.info/gnd/4045895-7</v>
      </c>
      <c r="L35" s="11" t="n">
        <v>300389795</v>
      </c>
      <c r="M35" s="11" t="str">
        <f aca="false">CONCATENATE("https://vocab.getty.edu/aat/",L35)</f>
        <v>https://vocab.getty.edu/aat/300389795</v>
      </c>
      <c r="P35" s="9" t="s">
        <v>174</v>
      </c>
      <c r="Q35" s="9" t="s">
        <v>175</v>
      </c>
      <c r="R35" s="0"/>
    </row>
    <row r="36" s="11" customFormat="true" ht="15" hidden="false" customHeight="false" outlineLevel="0" collapsed="false">
      <c r="A36" s="9" t="s">
        <v>176</v>
      </c>
      <c r="B36" s="18" t="n">
        <v>19</v>
      </c>
      <c r="C36" s="18" t="n">
        <v>18</v>
      </c>
      <c r="D36" s="9" t="s">
        <v>177</v>
      </c>
      <c r="F36" s="9" t="s">
        <v>178</v>
      </c>
      <c r="H36" s="9" t="s">
        <v>179</v>
      </c>
      <c r="I36" s="11" t="str">
        <f aca="false">CONCATENATE("http://www.wikidata.org/entity/",H36)</f>
        <v>http://www.wikidata.org/entity/Q635309</v>
      </c>
      <c r="J36" s="9" t="s">
        <v>180</v>
      </c>
      <c r="K36" s="11" t="str">
        <f aca="false">CONCATENATE("https://d-nb.info/gnd/",J36)</f>
        <v>https://d-nb.info/gnd/4002855-0</v>
      </c>
      <c r="L36" s="11" t="n">
        <v>300435151</v>
      </c>
      <c r="M36" s="11" t="str">
        <f aca="false">CONCATENATE("https://vocab.getty.edu/aat/",L36)</f>
        <v>https://vocab.getty.edu/aat/300435151</v>
      </c>
      <c r="P36" s="9" t="s">
        <v>181</v>
      </c>
      <c r="Q36" s="9" t="s">
        <v>182</v>
      </c>
      <c r="R36" s="0"/>
    </row>
    <row r="37" s="11" customFormat="true" ht="15" hidden="false" customHeight="false" outlineLevel="0" collapsed="false">
      <c r="A37" s="9" t="s">
        <v>183</v>
      </c>
      <c r="B37" s="18" t="n">
        <v>20</v>
      </c>
      <c r="C37" s="18" t="n">
        <v>18</v>
      </c>
      <c r="D37" s="9" t="s">
        <v>184</v>
      </c>
      <c r="F37" s="9" t="s">
        <v>185</v>
      </c>
      <c r="H37" s="9" t="s">
        <v>186</v>
      </c>
      <c r="I37" s="11" t="str">
        <f aca="false">CONCATENATE("http://www.wikidata.org/entity/",H37)</f>
        <v>http://www.wikidata.org/entity/Q615498</v>
      </c>
      <c r="J37" s="9" t="s">
        <v>187</v>
      </c>
      <c r="K37" s="11" t="str">
        <f aca="false">CONCATENATE("https://d-nb.info/gnd/",J37)</f>
        <v>https://d-nb.info/gnd/4142019-6</v>
      </c>
      <c r="L37" s="11" t="n">
        <v>300134547</v>
      </c>
      <c r="M37" s="11" t="str">
        <f aca="false">CONCATENATE("https://vocab.getty.edu/aat/",L37)</f>
        <v>https://vocab.getty.edu/aat/300134547</v>
      </c>
      <c r="P37" s="9" t="s">
        <v>188</v>
      </c>
      <c r="Q37" s="9" t="s">
        <v>189</v>
      </c>
      <c r="R37" s="0"/>
    </row>
    <row r="38" s="11" customFormat="true" ht="15" hidden="false" customHeight="false" outlineLevel="0" collapsed="false">
      <c r="A38" s="9" t="s">
        <v>190</v>
      </c>
      <c r="B38" s="18" t="n">
        <v>21</v>
      </c>
      <c r="C38" s="18" t="n">
        <v>18</v>
      </c>
      <c r="D38" s="9" t="s">
        <v>191</v>
      </c>
      <c r="F38" s="9" t="s">
        <v>192</v>
      </c>
      <c r="H38" s="9" t="s">
        <v>193</v>
      </c>
      <c r="I38" s="11" t="str">
        <f aca="false">CONCATENATE("http://www.wikidata.org/entity/",H38)</f>
        <v>http://www.wikidata.org/entity/Q190149</v>
      </c>
      <c r="J38" s="9" t="s">
        <v>194</v>
      </c>
      <c r="K38" s="11" t="str">
        <f aca="false">CONCATENATE("https://d-nb.info/gnd/",J38)</f>
        <v>https://d-nb.info/gnd/4045892-1</v>
      </c>
      <c r="L38" s="11" t="n">
        <v>300053580</v>
      </c>
      <c r="M38" s="11" t="str">
        <f aca="false">CONCATENATE("https://vocab.getty.edu/aat/",L38)</f>
        <v>https://vocab.getty.edu/aat/300053580</v>
      </c>
      <c r="P38" s="9" t="s">
        <v>195</v>
      </c>
      <c r="Q38" s="9" t="s">
        <v>196</v>
      </c>
      <c r="R38" s="0"/>
    </row>
    <row r="39" s="11" customFormat="true" ht="15" hidden="false" customHeight="false" outlineLevel="0" collapsed="false">
      <c r="A39" s="9" t="s">
        <v>197</v>
      </c>
      <c r="B39" s="18" t="n">
        <v>22</v>
      </c>
      <c r="C39" s="18" t="n">
        <v>18</v>
      </c>
      <c r="D39" s="9" t="s">
        <v>198</v>
      </c>
      <c r="F39" s="9" t="s">
        <v>199</v>
      </c>
      <c r="G39" s="9" t="s">
        <v>200</v>
      </c>
      <c r="H39" s="9" t="s">
        <v>201</v>
      </c>
      <c r="I39" s="11" t="str">
        <f aca="false">CONCATENATE("http://www.wikidata.org/entity/",H39)</f>
        <v>http://www.wikidata.org/entity/Q506858</v>
      </c>
      <c r="J39" s="9" t="s">
        <v>202</v>
      </c>
      <c r="K39" s="11" t="str">
        <f aca="false">CONCATENATE("https://d-nb.info/gnd/",J39)</f>
        <v>https://d-nb.info/gnd/4212482-7</v>
      </c>
      <c r="L39" s="11" t="n">
        <v>300054229</v>
      </c>
      <c r="M39" s="11" t="str">
        <f aca="false">CONCATENATE("https://vocab.getty.edu/aat/",L39)</f>
        <v>https://vocab.getty.edu/aat/300054229</v>
      </c>
      <c r="P39" s="9" t="s">
        <v>203</v>
      </c>
      <c r="Q39" s="9" t="s">
        <v>204</v>
      </c>
      <c r="R39" s="0"/>
    </row>
    <row r="40" s="11" customFormat="true" ht="15" hidden="false" customHeight="false" outlineLevel="0" collapsed="false">
      <c r="A40" s="9" t="s">
        <v>205</v>
      </c>
      <c r="B40" s="18" t="n">
        <v>23</v>
      </c>
      <c r="C40" s="18" t="n">
        <v>18</v>
      </c>
      <c r="D40" s="9" t="s">
        <v>206</v>
      </c>
      <c r="F40" s="9" t="s">
        <v>207</v>
      </c>
      <c r="H40" s="9" t="s">
        <v>208</v>
      </c>
      <c r="I40" s="11" t="str">
        <f aca="false">CONCATENATE("http://www.wikidata.org/entity/",H40)</f>
        <v>http://www.wikidata.org/entity/Q1665341</v>
      </c>
      <c r="J40" s="9" t="s">
        <v>209</v>
      </c>
      <c r="K40" s="11" t="str">
        <f aca="false">CONCATENATE("https://d-nb.info/gnd/",J40)</f>
        <v>https://d-nb.info/gnd/4371232-0</v>
      </c>
      <c r="P40" s="9" t="s">
        <v>210</v>
      </c>
      <c r="Q40" s="9" t="s">
        <v>211</v>
      </c>
      <c r="R40" s="0"/>
    </row>
    <row r="41" s="11" customFormat="true" ht="15" hidden="false" customHeight="false" outlineLevel="0" collapsed="false">
      <c r="A41" s="9" t="s">
        <v>212</v>
      </c>
      <c r="B41" s="18" t="n">
        <v>24</v>
      </c>
      <c r="C41" s="18" t="n">
        <v>18</v>
      </c>
      <c r="D41" s="9" t="s">
        <v>213</v>
      </c>
      <c r="F41" s="9" t="s">
        <v>214</v>
      </c>
      <c r="H41" s="9" t="s">
        <v>215</v>
      </c>
      <c r="I41" s="11" t="str">
        <f aca="false">CONCATENATE("http://www.wikidata.org/entity/",H41)</f>
        <v>http://www.wikidata.org/entity/Q1353984</v>
      </c>
      <c r="J41" s="9" t="s">
        <v>216</v>
      </c>
      <c r="K41" s="11" t="str">
        <f aca="false">CONCATENATE("https://d-nb.info/gnd/",J41)</f>
        <v>https://d-nb.info/gnd/4132170-4</v>
      </c>
      <c r="P41" s="9" t="s">
        <v>217</v>
      </c>
      <c r="Q41" s="9" t="s">
        <v>218</v>
      </c>
      <c r="R41" s="0"/>
    </row>
    <row r="42" s="11" customFormat="true" ht="15" hidden="false" customHeight="false" outlineLevel="0" collapsed="false">
      <c r="A42" s="9" t="s">
        <v>219</v>
      </c>
      <c r="B42" s="18" t="n">
        <v>25</v>
      </c>
      <c r="C42" s="18" t="n">
        <v>18</v>
      </c>
      <c r="D42" s="9" t="s">
        <v>220</v>
      </c>
      <c r="F42" s="9" t="s">
        <v>221</v>
      </c>
      <c r="H42" s="9" t="s">
        <v>222</v>
      </c>
      <c r="I42" s="11" t="str">
        <f aca="false">CONCATENATE("http://www.wikidata.org/entity/",H42)</f>
        <v>http://www.wikidata.org/entity/Q1146354</v>
      </c>
      <c r="J42" s="9" t="s">
        <v>223</v>
      </c>
      <c r="K42" s="11" t="str">
        <f aca="false">CONCATENATE("https://d-nb.info/gnd/",J42)</f>
        <v>https://d-nb.info/gnd/4137739-4</v>
      </c>
      <c r="L42" s="11" t="n">
        <v>300135798</v>
      </c>
      <c r="M42" s="11" t="str">
        <f aca="false">CONCATENATE("https://vocab.getty.edu/aat/",L42)</f>
        <v>https://vocab.getty.edu/aat/300135798</v>
      </c>
      <c r="P42" s="9" t="s">
        <v>224</v>
      </c>
      <c r="Q42" s="9" t="s">
        <v>225</v>
      </c>
      <c r="R42" s="0"/>
    </row>
    <row r="43" s="11" customFormat="true" ht="15" hidden="false" customHeight="false" outlineLevel="0" collapsed="false">
      <c r="A43" s="9" t="s">
        <v>226</v>
      </c>
      <c r="B43" s="18" t="n">
        <v>26</v>
      </c>
      <c r="C43" s="18" t="n">
        <v>18</v>
      </c>
      <c r="D43" s="9" t="s">
        <v>227</v>
      </c>
      <c r="F43" s="9" t="s">
        <v>228</v>
      </c>
      <c r="H43" s="9" t="s">
        <v>229</v>
      </c>
      <c r="I43" s="11" t="str">
        <f aca="false">CONCATENATE("http://www.wikidata.org/entity/",H43)</f>
        <v>http://www.wikidata.org/entity/Q182956</v>
      </c>
      <c r="J43" s="9" t="s">
        <v>230</v>
      </c>
      <c r="K43" s="11" t="str">
        <f aca="false">CONCATENATE("https://d-nb.info/gnd/",J43)</f>
        <v>https://d-nb.info/gnd/4046840-9</v>
      </c>
      <c r="L43" s="11" t="n">
        <v>300451604</v>
      </c>
      <c r="M43" s="11" t="str">
        <f aca="false">CONCATENATE("https://vocab.getty.edu/aat/",L43)</f>
        <v>https://vocab.getty.edu/aat/300451604</v>
      </c>
      <c r="P43" s="9" t="s">
        <v>231</v>
      </c>
      <c r="Q43" s="9" t="s">
        <v>232</v>
      </c>
      <c r="R43" s="0"/>
    </row>
    <row r="44" s="11" customFormat="true" ht="15" hidden="false" customHeight="false" outlineLevel="0" collapsed="false">
      <c r="A44" s="9" t="s">
        <v>233</v>
      </c>
      <c r="B44" s="18" t="n">
        <v>27</v>
      </c>
      <c r="C44" s="18" t="n">
        <v>18</v>
      </c>
      <c r="D44" s="9" t="s">
        <v>234</v>
      </c>
      <c r="F44" s="9" t="s">
        <v>235</v>
      </c>
      <c r="G44" s="9" t="s">
        <v>236</v>
      </c>
      <c r="H44" s="9" t="s">
        <v>237</v>
      </c>
      <c r="I44" s="11" t="str">
        <f aca="false">CONCATENATE("http://www.wikidata.org/entity/",H44)</f>
        <v>http://www.wikidata.org/entity/Q2111747</v>
      </c>
      <c r="J44" s="9" t="s">
        <v>238</v>
      </c>
      <c r="K44" s="11" t="str">
        <f aca="false">CONCATENATE("https://d-nb.info/gnd/",J44)</f>
        <v>https://d-nb.info/gnd/4406085-3</v>
      </c>
      <c r="P44" s="9" t="s">
        <v>239</v>
      </c>
      <c r="Q44" s="9" t="s">
        <v>240</v>
      </c>
      <c r="R44" s="0"/>
    </row>
    <row r="45" s="11" customFormat="true" ht="15" hidden="false" customHeight="false" outlineLevel="0" collapsed="false">
      <c r="A45" s="9" t="s">
        <v>241</v>
      </c>
      <c r="B45" s="18" t="n">
        <v>28</v>
      </c>
      <c r="C45" s="18" t="n">
        <v>18</v>
      </c>
      <c r="D45" s="9" t="s">
        <v>242</v>
      </c>
      <c r="F45" s="9" t="s">
        <v>243</v>
      </c>
      <c r="H45" s="9" t="s">
        <v>244</v>
      </c>
      <c r="I45" s="11" t="str">
        <f aca="false">CONCATENATE("http://www.wikidata.org/entity/",H45)</f>
        <v>http://www.wikidata.org/entity/Q612277</v>
      </c>
      <c r="J45" s="9" t="s">
        <v>245</v>
      </c>
      <c r="K45" s="11" t="str">
        <f aca="false">CONCATENATE("https://d-nb.info/gnd/",J45)</f>
        <v>https://d-nb.info/gnd/4199272-6</v>
      </c>
      <c r="P45" s="9" t="s">
        <v>246</v>
      </c>
      <c r="Q45" s="9" t="s">
        <v>247</v>
      </c>
      <c r="R45" s="0"/>
    </row>
    <row r="46" s="11" customFormat="true" ht="15" hidden="false" customHeight="false" outlineLevel="0" collapsed="false">
      <c r="A46" s="9" t="s">
        <v>248</v>
      </c>
      <c r="B46" s="18" t="n">
        <v>29</v>
      </c>
      <c r="C46" s="18" t="n">
        <v>18</v>
      </c>
      <c r="D46" s="9" t="s">
        <v>249</v>
      </c>
      <c r="F46" s="9" t="s">
        <v>250</v>
      </c>
      <c r="H46" s="9" t="s">
        <v>251</v>
      </c>
      <c r="I46" s="11" t="str">
        <f aca="false">CONCATENATE("http://www.wikidata.org/entity/",H46)</f>
        <v>http://www.wikidata.org/entity/Q1657850</v>
      </c>
      <c r="J46" s="9" t="s">
        <v>252</v>
      </c>
      <c r="K46" s="11" t="str">
        <f aca="false">CONCATENATE("https://d-nb.info/gnd/",J46)</f>
        <v>https://d-nb.info/gnd/4317809-1</v>
      </c>
      <c r="L46" s="11" t="n">
        <v>300412093</v>
      </c>
      <c r="M46" s="11" t="str">
        <f aca="false">CONCATENATE("https://vocab.getty.edu/aat/",L46)</f>
        <v>https://vocab.getty.edu/aat/300412093</v>
      </c>
      <c r="P46" s="9" t="s">
        <v>253</v>
      </c>
      <c r="Q46" s="9" t="s">
        <v>254</v>
      </c>
      <c r="R46" s="0"/>
    </row>
    <row r="47" s="11" customFormat="true" ht="15" hidden="false" customHeight="false" outlineLevel="0" collapsed="false">
      <c r="A47" s="9" t="s">
        <v>255</v>
      </c>
      <c r="B47" s="18" t="n">
        <v>30</v>
      </c>
      <c r="C47" s="18" t="n">
        <v>5</v>
      </c>
      <c r="D47" s="9" t="s">
        <v>256</v>
      </c>
      <c r="E47" s="9" t="s">
        <v>257</v>
      </c>
      <c r="F47" s="9" t="s">
        <v>258</v>
      </c>
      <c r="H47" s="9" t="s">
        <v>259</v>
      </c>
      <c r="I47" s="11" t="str">
        <f aca="false">CONCATENATE("http://www.wikidata.org/entity/",H47)</f>
        <v>http://www.wikidata.org/entity/Q45621</v>
      </c>
      <c r="J47" s="9" t="s">
        <v>260</v>
      </c>
      <c r="K47" s="11" t="str">
        <f aca="false">CONCATENATE("https://d-nb.info/gnd/",J47)</f>
        <v>https://d-nb.info/gnd/4030270-2</v>
      </c>
      <c r="L47" s="11" t="n">
        <v>300010666</v>
      </c>
      <c r="M47" s="11" t="str">
        <f aca="false">CONCATENATE("https://vocab.getty.edu/aat/",L47)</f>
        <v>https://vocab.getty.edu/aat/300010666</v>
      </c>
      <c r="P47" s="9" t="s">
        <v>261</v>
      </c>
      <c r="Q47" s="9" t="s">
        <v>262</v>
      </c>
      <c r="R47" s="0"/>
    </row>
    <row r="48" s="11" customFormat="true" ht="15" hidden="false" customHeight="false" outlineLevel="0" collapsed="false">
      <c r="A48" s="9" t="s">
        <v>263</v>
      </c>
      <c r="B48" s="18" t="n">
        <v>31</v>
      </c>
      <c r="C48" s="18"/>
      <c r="D48" s="9" t="s">
        <v>264</v>
      </c>
      <c r="E48" s="9" t="s">
        <v>265</v>
      </c>
      <c r="F48" s="9" t="s">
        <v>266</v>
      </c>
      <c r="H48" s="9" t="s">
        <v>267</v>
      </c>
      <c r="I48" s="11" t="str">
        <f aca="false">CONCATENATE("http://www.wikidata.org/entity/",H48)</f>
        <v>http://www.wikidata.org/entity/Q184485</v>
      </c>
      <c r="J48" s="9" t="s">
        <v>268</v>
      </c>
      <c r="K48" s="11" t="str">
        <f aca="false">CONCATENATE("https://d-nb.info/gnd/",J48)</f>
        <v>https://d-nb.info/gnd/4129566-3</v>
      </c>
      <c r="L48" s="11" t="n">
        <v>300054140</v>
      </c>
      <c r="M48" s="11" t="str">
        <f aca="false">CONCATENATE("https://vocab.getty.edu/aat/",L48)</f>
        <v>https://vocab.getty.edu/aat/300054140</v>
      </c>
      <c r="P48" s="9" t="s">
        <v>266</v>
      </c>
      <c r="Q48" s="9" t="s">
        <v>264</v>
      </c>
      <c r="R48" s="0"/>
    </row>
    <row r="49" s="11" customFormat="true" ht="15" hidden="false" customHeight="false" outlineLevel="0" collapsed="false">
      <c r="A49" s="9" t="s">
        <v>269</v>
      </c>
      <c r="B49" s="18" t="n">
        <v>32</v>
      </c>
      <c r="C49" s="18" t="n">
        <v>31</v>
      </c>
      <c r="D49" s="9" t="s">
        <v>270</v>
      </c>
      <c r="F49" s="9" t="s">
        <v>271</v>
      </c>
      <c r="H49" s="9" t="s">
        <v>272</v>
      </c>
      <c r="I49" s="11" t="str">
        <f aca="false">CONCATENATE("http://www.wikidata.org/entity/",H49)</f>
        <v>http://www.wikidata.org/entity/Q11635</v>
      </c>
      <c r="J49" s="9" t="s">
        <v>273</v>
      </c>
      <c r="K49" s="11" t="str">
        <f aca="false">CONCATENATE("https://d-nb.info/gnd/",J49)</f>
        <v>https://d-nb.info/gnd/4059702-7</v>
      </c>
      <c r="L49" s="11" t="n">
        <v>300417582</v>
      </c>
      <c r="M49" s="11" t="str">
        <f aca="false">CONCATENATE("https://vocab.getty.edu/aat/",L49)</f>
        <v>https://vocab.getty.edu/aat/300417582</v>
      </c>
      <c r="P49" s="9" t="s">
        <v>274</v>
      </c>
      <c r="Q49" s="9" t="s">
        <v>275</v>
      </c>
      <c r="R49" s="0"/>
    </row>
    <row r="50" s="11" customFormat="true" ht="15" hidden="false" customHeight="false" outlineLevel="0" collapsed="false">
      <c r="A50" s="9" t="s">
        <v>276</v>
      </c>
      <c r="B50" s="18" t="n">
        <v>33</v>
      </c>
      <c r="C50" s="18" t="n">
        <v>32</v>
      </c>
      <c r="D50" s="9" t="s">
        <v>277</v>
      </c>
      <c r="F50" s="9" t="s">
        <v>278</v>
      </c>
      <c r="G50" s="9" t="s">
        <v>279</v>
      </c>
      <c r="H50" s="9" t="s">
        <v>280</v>
      </c>
      <c r="I50" s="11" t="str">
        <f aca="false">CONCATENATE("http://www.wikidata.org/entity/",H50)</f>
        <v>http://www.wikidata.org/entity/Q191760</v>
      </c>
      <c r="J50" s="9" t="s">
        <v>281</v>
      </c>
      <c r="K50" s="11" t="str">
        <f aca="false">CONCATENATE("https://d-nb.info/gnd/",J50)</f>
        <v>https://d-nb.info/gnd/4141169-9</v>
      </c>
      <c r="P50" s="9" t="s">
        <v>282</v>
      </c>
      <c r="Q50" s="9" t="s">
        <v>283</v>
      </c>
      <c r="R50" s="0"/>
    </row>
    <row r="51" s="11" customFormat="true" ht="15" hidden="false" customHeight="false" outlineLevel="0" collapsed="false">
      <c r="A51" s="9" t="s">
        <v>284</v>
      </c>
      <c r="B51" s="18" t="n">
        <v>34</v>
      </c>
      <c r="C51" s="18" t="n">
        <v>32</v>
      </c>
      <c r="D51" s="9" t="s">
        <v>285</v>
      </c>
      <c r="E51" s="9" t="s">
        <v>286</v>
      </c>
      <c r="F51" s="9" t="s">
        <v>287</v>
      </c>
      <c r="H51" s="9" t="s">
        <v>288</v>
      </c>
      <c r="I51" s="11" t="str">
        <f aca="false">CONCATENATE("http://www.wikidata.org/entity/",H51)</f>
        <v>http://www.wikidata.org/entity/Q1464930</v>
      </c>
      <c r="J51" s="9" t="s">
        <v>289</v>
      </c>
      <c r="K51" s="11" t="str">
        <f aca="false">CONCATENATE("https://d-nb.info/gnd/",J51)</f>
        <v>https://d-nb.info/gnd/4454844-8</v>
      </c>
      <c r="P51" s="9" t="s">
        <v>290</v>
      </c>
      <c r="Q51" s="9" t="s">
        <v>291</v>
      </c>
      <c r="R51" s="0"/>
    </row>
    <row r="52" s="11" customFormat="true" ht="15" hidden="false" customHeight="false" outlineLevel="0" collapsed="false">
      <c r="A52" s="9" t="s">
        <v>292</v>
      </c>
      <c r="B52" s="18" t="n">
        <v>35</v>
      </c>
      <c r="C52" s="18" t="n">
        <v>32</v>
      </c>
      <c r="D52" s="9" t="s">
        <v>293</v>
      </c>
      <c r="E52" s="9" t="s">
        <v>294</v>
      </c>
      <c r="F52" s="9" t="s">
        <v>295</v>
      </c>
      <c r="H52" s="9" t="s">
        <v>296</v>
      </c>
      <c r="I52" s="11" t="str">
        <f aca="false">CONCATENATE("http://www.wikidata.org/entity/",H52)</f>
        <v>http://www.wikidata.org/entity/Q4781537</v>
      </c>
      <c r="J52" s="11" t="n">
        <v>1077445415</v>
      </c>
      <c r="K52" s="11" t="str">
        <f aca="false">CONCATENATE("https://d-nb.info/gnd/",J52)</f>
        <v>https://d-nb.info/gnd/1077445415</v>
      </c>
      <c r="P52" s="9" t="s">
        <v>297</v>
      </c>
      <c r="Q52" s="9" t="s">
        <v>298</v>
      </c>
      <c r="R52" s="0"/>
    </row>
    <row r="53" s="11" customFormat="true" ht="15" hidden="false" customHeight="false" outlineLevel="0" collapsed="false">
      <c r="A53" s="9" t="s">
        <v>299</v>
      </c>
      <c r="B53" s="18" t="n">
        <v>36</v>
      </c>
      <c r="C53" s="18" t="n">
        <v>32</v>
      </c>
      <c r="D53" s="9" t="s">
        <v>300</v>
      </c>
      <c r="F53" s="9" t="s">
        <v>301</v>
      </c>
      <c r="H53" s="9" t="s">
        <v>302</v>
      </c>
      <c r="I53" s="11" t="str">
        <f aca="false">CONCATENATE("http://www.wikidata.org/entity/",H53)</f>
        <v>http://www.wikidata.org/entity/Q722600</v>
      </c>
      <c r="J53" s="9" t="s">
        <v>303</v>
      </c>
      <c r="K53" s="11" t="str">
        <f aca="false">CONCATENATE("https://d-nb.info/gnd/",J53)</f>
        <v>https://d-nb.info/gnd/4015051-3</v>
      </c>
      <c r="P53" s="9" t="s">
        <v>304</v>
      </c>
      <c r="Q53" s="9" t="s">
        <v>305</v>
      </c>
      <c r="R53" s="0"/>
    </row>
    <row r="54" s="11" customFormat="true" ht="15" hidden="false" customHeight="false" outlineLevel="0" collapsed="false">
      <c r="A54" s="9" t="s">
        <v>306</v>
      </c>
      <c r="B54" s="18" t="n">
        <v>37</v>
      </c>
      <c r="C54" s="18" t="n">
        <v>32</v>
      </c>
      <c r="D54" s="9" t="s">
        <v>307</v>
      </c>
      <c r="F54" s="9" t="s">
        <v>308</v>
      </c>
      <c r="H54" s="9" t="s">
        <v>309</v>
      </c>
      <c r="I54" s="11" t="str">
        <f aca="false">CONCATENATE("http://www.wikidata.org/entity/",H54)</f>
        <v>http://www.wikidata.org/entity/Q3096995</v>
      </c>
      <c r="J54" s="9" t="s">
        <v>310</v>
      </c>
      <c r="K54" s="11" t="str">
        <f aca="false">CONCATENATE("https://d-nb.info/gnd/",J54)</f>
        <v>https://d-nb.info/gnd/4124890-9</v>
      </c>
      <c r="P54" s="9" t="s">
        <v>311</v>
      </c>
      <c r="Q54" s="9" t="s">
        <v>312</v>
      </c>
      <c r="R54" s="0"/>
    </row>
    <row r="55" s="11" customFormat="true" ht="15" hidden="false" customHeight="false" outlineLevel="0" collapsed="false">
      <c r="A55" s="9" t="s">
        <v>313</v>
      </c>
      <c r="B55" s="18" t="n">
        <v>38</v>
      </c>
      <c r="C55" s="18" t="n">
        <v>32</v>
      </c>
      <c r="D55" s="9" t="s">
        <v>314</v>
      </c>
      <c r="F55" s="9" t="s">
        <v>314</v>
      </c>
      <c r="H55" s="9" t="s">
        <v>315</v>
      </c>
      <c r="I55" s="11" t="str">
        <f aca="false">CONCATENATE("http://www.wikidata.org/entity/",H55)</f>
        <v>http://www.wikidata.org/entity/Q5276198</v>
      </c>
      <c r="P55" s="9" t="s">
        <v>316</v>
      </c>
      <c r="Q55" s="9" t="s">
        <v>317</v>
      </c>
      <c r="R55" s="0"/>
    </row>
    <row r="56" s="11" customFormat="true" ht="15" hidden="false" customHeight="false" outlineLevel="0" collapsed="false">
      <c r="A56" s="9" t="s">
        <v>318</v>
      </c>
      <c r="B56" s="18" t="n">
        <v>39</v>
      </c>
      <c r="C56" s="18" t="n">
        <v>32</v>
      </c>
      <c r="D56" s="9" t="s">
        <v>319</v>
      </c>
      <c r="F56" s="9" t="s">
        <v>320</v>
      </c>
      <c r="G56" s="9" t="s">
        <v>321</v>
      </c>
      <c r="H56" s="9" t="s">
        <v>322</v>
      </c>
      <c r="I56" s="11" t="str">
        <f aca="false">CONCATENATE("http://www.wikidata.org/entity/",H56)</f>
        <v>http://www.wikidata.org/entity/Q634138</v>
      </c>
      <c r="J56" s="9" t="s">
        <v>323</v>
      </c>
      <c r="K56" s="11" t="str">
        <f aca="false">CONCATENATE("https://d-nb.info/gnd/",J56)</f>
        <v>https://d-nb.info/gnd/4139054-4</v>
      </c>
      <c r="P56" s="9" t="s">
        <v>324</v>
      </c>
      <c r="Q56" s="9" t="s">
        <v>325</v>
      </c>
      <c r="R56" s="0"/>
    </row>
    <row r="57" s="11" customFormat="true" ht="15" hidden="false" customHeight="false" outlineLevel="0" collapsed="false">
      <c r="A57" s="9" t="s">
        <v>326</v>
      </c>
      <c r="B57" s="18" t="n">
        <v>40</v>
      </c>
      <c r="C57" s="18" t="n">
        <v>32</v>
      </c>
      <c r="D57" s="9" t="s">
        <v>327</v>
      </c>
      <c r="F57" s="9" t="s">
        <v>328</v>
      </c>
      <c r="G57" s="9" t="s">
        <v>329</v>
      </c>
      <c r="H57" s="9" t="s">
        <v>330</v>
      </c>
      <c r="I57" s="11" t="str">
        <f aca="false">CONCATENATE("http://www.wikidata.org/entity/",H57)</f>
        <v>http://www.wikidata.org/entity/Q588750</v>
      </c>
      <c r="J57" s="9" t="s">
        <v>331</v>
      </c>
      <c r="K57" s="11" t="str">
        <f aca="false">CONCATENATE("https://d-nb.info/gnd/",J57)</f>
        <v>https://d-nb.info/gnd/4247240-4</v>
      </c>
      <c r="P57" s="9" t="s">
        <v>332</v>
      </c>
      <c r="Q57" s="9" t="s">
        <v>333</v>
      </c>
      <c r="R57" s="0"/>
    </row>
    <row r="58" s="11" customFormat="true" ht="15" hidden="false" customHeight="false" outlineLevel="0" collapsed="false">
      <c r="A58" s="9" t="s">
        <v>334</v>
      </c>
      <c r="B58" s="18" t="n">
        <v>41</v>
      </c>
      <c r="C58" s="18" t="n">
        <v>32</v>
      </c>
      <c r="D58" s="9" t="s">
        <v>335</v>
      </c>
      <c r="F58" s="9" t="s">
        <v>336</v>
      </c>
      <c r="H58" s="9" t="s">
        <v>337</v>
      </c>
      <c r="I58" s="11" t="str">
        <f aca="false">CONCATENATE("http://www.wikidata.org/entity/",H58)</f>
        <v>http://www.wikidata.org/entity/Q11183017</v>
      </c>
      <c r="P58" s="9" t="s">
        <v>338</v>
      </c>
      <c r="Q58" s="9" t="s">
        <v>339</v>
      </c>
      <c r="R58" s="0"/>
    </row>
    <row r="59" s="11" customFormat="true" ht="15" hidden="false" customHeight="false" outlineLevel="0" collapsed="false">
      <c r="A59" s="9" t="s">
        <v>340</v>
      </c>
      <c r="B59" s="18" t="n">
        <v>42</v>
      </c>
      <c r="C59" s="18" t="n">
        <v>32</v>
      </c>
      <c r="D59" s="9" t="s">
        <v>341</v>
      </c>
      <c r="F59" s="9" t="s">
        <v>342</v>
      </c>
      <c r="H59" s="9" t="s">
        <v>343</v>
      </c>
      <c r="I59" s="11" t="str">
        <f aca="false">CONCATENATE("http://www.wikidata.org/entity/",H59)</f>
        <v>http://www.wikidata.org/entity/Q1140700</v>
      </c>
      <c r="P59" s="9" t="s">
        <v>344</v>
      </c>
      <c r="Q59" s="9" t="s">
        <v>345</v>
      </c>
      <c r="R59" s="0"/>
    </row>
    <row r="60" s="11" customFormat="true" ht="15" hidden="false" customHeight="false" outlineLevel="0" collapsed="false">
      <c r="A60" s="9" t="s">
        <v>346</v>
      </c>
      <c r="B60" s="18" t="n">
        <v>43</v>
      </c>
      <c r="C60" s="18" t="n">
        <v>32</v>
      </c>
      <c r="D60" s="9" t="s">
        <v>347</v>
      </c>
      <c r="F60" s="9" t="s">
        <v>348</v>
      </c>
      <c r="H60" s="9" t="s">
        <v>349</v>
      </c>
      <c r="I60" s="11" t="str">
        <f aca="false">CONCATENATE("http://www.wikidata.org/entity/",H60)</f>
        <v>http://www.wikidata.org/entity/Q6045421</v>
      </c>
      <c r="P60" s="9" t="s">
        <v>350</v>
      </c>
      <c r="Q60" s="9" t="s">
        <v>351</v>
      </c>
      <c r="R60" s="0"/>
    </row>
    <row r="61" s="11" customFormat="true" ht="15" hidden="false" customHeight="false" outlineLevel="0" collapsed="false">
      <c r="A61" s="9" t="s">
        <v>352</v>
      </c>
      <c r="B61" s="18" t="n">
        <v>44</v>
      </c>
      <c r="C61" s="18" t="n">
        <v>32</v>
      </c>
      <c r="D61" s="9" t="s">
        <v>353</v>
      </c>
      <c r="F61" s="9" t="s">
        <v>354</v>
      </c>
      <c r="H61" s="9" t="s">
        <v>355</v>
      </c>
      <c r="I61" s="11" t="str">
        <f aca="false">CONCATENATE("http://www.wikidata.org/entity/",H61)</f>
        <v>http://www.wikidata.org/entity/Q2416110</v>
      </c>
      <c r="J61" s="9" t="s">
        <v>356</v>
      </c>
      <c r="K61" s="11" t="str">
        <f aca="false">CONCATENATE("https://d-nb.info/gnd/",J61)</f>
        <v>https://d-nb.info/gnd/4162874-3</v>
      </c>
      <c r="P61" s="9" t="s">
        <v>357</v>
      </c>
      <c r="Q61" s="9" t="s">
        <v>358</v>
      </c>
      <c r="R61" s="0"/>
    </row>
    <row r="62" s="11" customFormat="true" ht="15" hidden="false" customHeight="false" outlineLevel="0" collapsed="false">
      <c r="A62" s="9" t="s">
        <v>359</v>
      </c>
      <c r="B62" s="18" t="n">
        <v>45</v>
      </c>
      <c r="C62" s="18" t="n">
        <v>32</v>
      </c>
      <c r="D62" s="9" t="s">
        <v>360</v>
      </c>
      <c r="F62" s="9" t="s">
        <v>361</v>
      </c>
      <c r="H62" s="9" t="s">
        <v>355</v>
      </c>
      <c r="I62" s="11" t="str">
        <f aca="false">CONCATENATE("http://www.wikidata.org/entity/",H62)</f>
        <v>http://www.wikidata.org/entity/Q2416110</v>
      </c>
      <c r="J62" s="9" t="s">
        <v>362</v>
      </c>
      <c r="K62" s="11" t="str">
        <f aca="false">CONCATENATE("https://d-nb.info/gnd/",J62)</f>
        <v>https://d-nb.info/gnd/4125349-8</v>
      </c>
      <c r="P62" s="9" t="s">
        <v>363</v>
      </c>
      <c r="Q62" s="9" t="s">
        <v>364</v>
      </c>
      <c r="R62" s="0"/>
    </row>
    <row r="63" s="11" customFormat="true" ht="15" hidden="false" customHeight="false" outlineLevel="0" collapsed="false">
      <c r="A63" s="9" t="s">
        <v>365</v>
      </c>
      <c r="B63" s="18" t="n">
        <v>46</v>
      </c>
      <c r="C63" s="18" t="n">
        <v>32</v>
      </c>
      <c r="D63" s="9" t="s">
        <v>366</v>
      </c>
      <c r="F63" s="9" t="s">
        <v>367</v>
      </c>
      <c r="G63" s="9" t="s">
        <v>368</v>
      </c>
      <c r="H63" s="9" t="s">
        <v>369</v>
      </c>
      <c r="I63" s="11" t="str">
        <f aca="false">CONCATENATE("http://www.wikidata.org/entity/",H63)</f>
        <v>http://www.wikidata.org/entity/Q16854678</v>
      </c>
      <c r="J63" s="9" t="s">
        <v>370</v>
      </c>
      <c r="K63" s="11" t="str">
        <f aca="false">CONCATENATE("https://d-nb.info/gnd/",J63)</f>
        <v>https://d-nb.info/gnd/4169655-4</v>
      </c>
      <c r="P63" s="9" t="s">
        <v>371</v>
      </c>
      <c r="Q63" s="9" t="s">
        <v>372</v>
      </c>
      <c r="R63" s="0"/>
    </row>
    <row r="64" s="11" customFormat="true" ht="15" hidden="false" customHeight="false" outlineLevel="0" collapsed="false">
      <c r="A64" s="9" t="s">
        <v>373</v>
      </c>
      <c r="B64" s="18" t="n">
        <v>47</v>
      </c>
      <c r="C64" s="18" t="n">
        <v>32</v>
      </c>
      <c r="D64" s="9" t="s">
        <v>374</v>
      </c>
      <c r="F64" s="9" t="s">
        <v>375</v>
      </c>
      <c r="H64" s="9" t="s">
        <v>376</v>
      </c>
      <c r="I64" s="11" t="str">
        <f aca="false">CONCATENATE("http://www.wikidata.org/entity/",H64)</f>
        <v>http://www.wikidata.org/entity/Q1370345</v>
      </c>
      <c r="J64" s="9" t="s">
        <v>377</v>
      </c>
      <c r="K64" s="11" t="str">
        <f aca="false">CONCATENATE("https://d-nb.info/gnd/",J64)</f>
        <v>https://d-nb.info/gnd/4040874-7</v>
      </c>
      <c r="P64" s="9" t="s">
        <v>378</v>
      </c>
      <c r="Q64" s="9" t="s">
        <v>379</v>
      </c>
      <c r="R64" s="0"/>
    </row>
    <row r="65" s="11" customFormat="true" ht="15" hidden="false" customHeight="false" outlineLevel="0" collapsed="false">
      <c r="A65" s="9" t="s">
        <v>380</v>
      </c>
      <c r="B65" s="18" t="n">
        <v>48</v>
      </c>
      <c r="C65" s="18" t="n">
        <v>32</v>
      </c>
      <c r="D65" s="9" t="s">
        <v>381</v>
      </c>
      <c r="F65" s="9" t="s">
        <v>381</v>
      </c>
      <c r="H65" s="9" t="s">
        <v>382</v>
      </c>
      <c r="I65" s="11" t="str">
        <f aca="false">CONCATENATE("http://www.wikidata.org/entity/",H65)</f>
        <v>http://www.wikidata.org/entity/Q3179173</v>
      </c>
      <c r="P65" s="9" t="s">
        <v>383</v>
      </c>
      <c r="Q65" s="9" t="s">
        <v>384</v>
      </c>
      <c r="R65" s="0"/>
    </row>
    <row r="66" s="11" customFormat="true" ht="15" hidden="false" customHeight="false" outlineLevel="0" collapsed="false">
      <c r="A66" s="9" t="s">
        <v>385</v>
      </c>
      <c r="B66" s="18" t="n">
        <v>49</v>
      </c>
      <c r="C66" s="18" t="n">
        <v>32</v>
      </c>
      <c r="D66" s="9" t="s">
        <v>386</v>
      </c>
      <c r="F66" s="9" t="s">
        <v>387</v>
      </c>
      <c r="H66" s="9" t="s">
        <v>388</v>
      </c>
      <c r="I66" s="11" t="str">
        <f aca="false">CONCATENATE("http://www.wikidata.org/entity/",H66)</f>
        <v>http://www.wikidata.org/entity/Q442725</v>
      </c>
      <c r="J66" s="9" t="s">
        <v>389</v>
      </c>
      <c r="K66" s="11" t="str">
        <f aca="false">CONCATENATE("https://d-nb.info/gnd/",J66)</f>
        <v>https://d-nb.info/gnd/4046587-1</v>
      </c>
      <c r="P66" s="9" t="s">
        <v>390</v>
      </c>
      <c r="Q66" s="9" t="s">
        <v>391</v>
      </c>
      <c r="R66" s="0"/>
    </row>
    <row r="67" s="11" customFormat="true" ht="15" hidden="false" customHeight="false" outlineLevel="0" collapsed="false">
      <c r="A67" s="9" t="s">
        <v>392</v>
      </c>
      <c r="B67" s="18" t="n">
        <v>50</v>
      </c>
      <c r="C67" s="18" t="n">
        <v>32</v>
      </c>
      <c r="D67" s="9" t="s">
        <v>393</v>
      </c>
      <c r="F67" s="9" t="s">
        <v>394</v>
      </c>
      <c r="H67" s="9" t="s">
        <v>395</v>
      </c>
      <c r="I67" s="11" t="str">
        <f aca="false">CONCATENATE("http://www.wikidata.org/entity/",H67)</f>
        <v>http://www.wikidata.org/entity/Q2106021</v>
      </c>
      <c r="J67" s="9" t="s">
        <v>396</v>
      </c>
      <c r="K67" s="11" t="str">
        <f aca="false">CONCATENATE("https://d-nb.info/gnd/",J67)</f>
        <v>https://d-nb.info/gnd/7686613-0</v>
      </c>
      <c r="P67" s="9" t="s">
        <v>397</v>
      </c>
      <c r="Q67" s="9" t="s">
        <v>398</v>
      </c>
      <c r="R67" s="0"/>
    </row>
    <row r="68" s="11" customFormat="true" ht="15" hidden="false" customHeight="false" outlineLevel="0" collapsed="false">
      <c r="A68" s="9" t="s">
        <v>399</v>
      </c>
      <c r="B68" s="18" t="n">
        <v>51</v>
      </c>
      <c r="C68" s="18" t="n">
        <v>32</v>
      </c>
      <c r="D68" s="9" t="s">
        <v>400</v>
      </c>
      <c r="F68" s="9" t="s">
        <v>401</v>
      </c>
      <c r="H68" s="9" t="s">
        <v>402</v>
      </c>
      <c r="I68" s="11" t="str">
        <f aca="false">CONCATENATE("http://www.wikidata.org/entity/",H68)</f>
        <v>http://www.wikidata.org/entity/Q7234386</v>
      </c>
      <c r="P68" s="9" t="s">
        <v>403</v>
      </c>
      <c r="Q68" s="9" t="s">
        <v>404</v>
      </c>
      <c r="R68" s="0"/>
    </row>
    <row r="69" s="11" customFormat="true" ht="15" hidden="false" customHeight="false" outlineLevel="0" collapsed="false">
      <c r="A69" s="9" t="s">
        <v>405</v>
      </c>
      <c r="B69" s="18" t="n">
        <v>52</v>
      </c>
      <c r="C69" s="18" t="n">
        <v>32</v>
      </c>
      <c r="D69" s="9" t="s">
        <v>406</v>
      </c>
      <c r="F69" s="9" t="s">
        <v>407</v>
      </c>
      <c r="H69" s="9" t="s">
        <v>408</v>
      </c>
      <c r="I69" s="11" t="str">
        <f aca="false">CONCATENATE("http://www.wikidata.org/entity/",H69)</f>
        <v>http://www.wikidata.org/entity/Q2140453</v>
      </c>
      <c r="J69" s="9" t="s">
        <v>409</v>
      </c>
      <c r="K69" s="11" t="str">
        <f aca="false">CONCATENATE("https://d-nb.info/gnd/",J69)</f>
        <v>https://d-nb.info/gnd/4057922-0</v>
      </c>
      <c r="L69" s="11" t="n">
        <v>300379205</v>
      </c>
      <c r="M69" s="11" t="str">
        <f aca="false">CONCATENATE("https://vocab.getty.edu/aat/",L69)</f>
        <v>https://vocab.getty.edu/aat/300379205</v>
      </c>
      <c r="P69" s="9" t="s">
        <v>410</v>
      </c>
      <c r="Q69" s="9" t="s">
        <v>411</v>
      </c>
      <c r="R69" s="0"/>
    </row>
    <row r="70" s="11" customFormat="true" ht="15" hidden="false" customHeight="false" outlineLevel="0" collapsed="false">
      <c r="A70" s="9" t="s">
        <v>412</v>
      </c>
      <c r="B70" s="18" t="n">
        <v>53</v>
      </c>
      <c r="C70" s="18" t="n">
        <v>32</v>
      </c>
      <c r="D70" s="9" t="s">
        <v>413</v>
      </c>
      <c r="E70" s="9" t="s">
        <v>414</v>
      </c>
      <c r="F70" s="9" t="s">
        <v>415</v>
      </c>
      <c r="G70" s="9" t="s">
        <v>416</v>
      </c>
      <c r="H70" s="9" t="s">
        <v>417</v>
      </c>
      <c r="I70" s="11" t="str">
        <f aca="false">CONCATENATE("http://www.wikidata.org/entity/",H70)</f>
        <v>http://www.wikidata.org/entity/Q39892385</v>
      </c>
      <c r="J70" s="9" t="s">
        <v>418</v>
      </c>
      <c r="K70" s="11" t="str">
        <f aca="false">CONCATENATE("https://d-nb.info/gnd/",J70)</f>
        <v>https://d-nb.info/gnd/4182552-4</v>
      </c>
      <c r="P70" s="9" t="s">
        <v>419</v>
      </c>
      <c r="Q70" s="9" t="s">
        <v>420</v>
      </c>
      <c r="R70" s="0"/>
    </row>
    <row r="71" s="11" customFormat="true" ht="15" hidden="false" customHeight="false" outlineLevel="0" collapsed="false">
      <c r="A71" s="9" t="s">
        <v>421</v>
      </c>
      <c r="B71" s="18" t="n">
        <v>54</v>
      </c>
      <c r="C71" s="18" t="n">
        <v>32</v>
      </c>
      <c r="D71" s="9" t="s">
        <v>422</v>
      </c>
      <c r="F71" s="9" t="s">
        <v>423</v>
      </c>
      <c r="H71" s="9" t="s">
        <v>424</v>
      </c>
      <c r="I71" s="11" t="str">
        <f aca="false">CONCATENATE("http://www.wikidata.org/entity/",H71)</f>
        <v>http://www.wikidata.org/entity/Q1425858</v>
      </c>
      <c r="J71" s="9" t="s">
        <v>425</v>
      </c>
      <c r="K71" s="11" t="str">
        <f aca="false">CONCATENATE("https://d-nb.info/gnd/",J71)</f>
        <v>https://d-nb.info/gnd/4184451-8</v>
      </c>
      <c r="P71" s="9" t="s">
        <v>426</v>
      </c>
      <c r="Q71" s="9" t="s">
        <v>427</v>
      </c>
      <c r="R71" s="0"/>
    </row>
    <row r="72" customFormat="false" ht="15" hidden="false" customHeight="false" outlineLevel="0" collapsed="false">
      <c r="A72" s="28" t="s">
        <v>428</v>
      </c>
      <c r="B72" s="2" t="n">
        <v>55</v>
      </c>
      <c r="C72" s="18"/>
      <c r="D72" s="9" t="s">
        <v>429</v>
      </c>
      <c r="E72" s="11"/>
      <c r="F72" s="9" t="s">
        <v>429</v>
      </c>
      <c r="G72" s="9" t="s">
        <v>430</v>
      </c>
      <c r="H72" s="9" t="s">
        <v>431</v>
      </c>
      <c r="I72" s="11" t="str">
        <f aca="false">CONCATENATE("http://www.wikidata.org/entity/",H72)</f>
        <v>http://www.wikidata.org/entity/Q11424</v>
      </c>
      <c r="J72" s="9" t="s">
        <v>432</v>
      </c>
      <c r="K72" s="11" t="str">
        <f aca="false">CONCATENATE("https://d-nb.info/gnd/",J72)</f>
        <v>https://d-nb.info/gnd/4017102-4</v>
      </c>
      <c r="L72" s="11" t="n">
        <v>300136900</v>
      </c>
      <c r="M72" s="11" t="str">
        <f aca="false">CONCATENATE("https://vocab.getty.edu/aat/",L72)</f>
        <v>https://vocab.getty.edu/aat/300136900</v>
      </c>
      <c r="N72" s="11"/>
      <c r="O72" s="11"/>
      <c r="P72" s="9" t="s">
        <v>429</v>
      </c>
      <c r="Q72" s="9" t="s">
        <v>429</v>
      </c>
    </row>
    <row r="73" customFormat="false" ht="15" hidden="false" customHeight="false" outlineLevel="0" collapsed="false">
      <c r="A73" s="28" t="s">
        <v>433</v>
      </c>
      <c r="B73" s="2" t="n">
        <v>56</v>
      </c>
      <c r="C73" s="18" t="n">
        <v>55</v>
      </c>
      <c r="D73" s="9" t="s">
        <v>434</v>
      </c>
      <c r="E73" s="9" t="s">
        <v>435</v>
      </c>
      <c r="F73" s="9" t="s">
        <v>436</v>
      </c>
      <c r="G73" s="9" t="s">
        <v>435</v>
      </c>
      <c r="H73" s="9" t="s">
        <v>437</v>
      </c>
      <c r="I73" s="11" t="str">
        <f aca="false">CONCATENATE("http://www.wikidata.org/entity/",H73)</f>
        <v>http://www.wikidata.org/entity/Q202866</v>
      </c>
      <c r="J73" s="9" t="s">
        <v>438</v>
      </c>
      <c r="K73" s="11" t="str">
        <f aca="false">CONCATENATE("https://d-nb.info/gnd/",J73)</f>
        <v>https://d-nb.info/gnd/4142484-0</v>
      </c>
      <c r="L73" s="11" t="n">
        <v>300411663</v>
      </c>
      <c r="M73" s="11" t="str">
        <f aca="false">CONCATENATE("https://vocab.getty.edu/aat/",L73)</f>
        <v>https://vocab.getty.edu/aat/300411663</v>
      </c>
      <c r="N73" s="9" t="s">
        <v>439</v>
      </c>
      <c r="O73" s="11" t="str">
        <f aca="false">CONCATENATE("http://filmportal.vocnet.org/html/category/",N73)</f>
        <v>http://filmportal.vocnet.org/html/category/c00006</v>
      </c>
      <c r="P73" s="9" t="s">
        <v>440</v>
      </c>
      <c r="Q73" s="9" t="s">
        <v>441</v>
      </c>
    </row>
    <row r="74" customFormat="false" ht="15" hidden="false" customHeight="false" outlineLevel="0" collapsed="false">
      <c r="A74" s="28" t="s">
        <v>442</v>
      </c>
      <c r="B74" s="2" t="n">
        <v>57</v>
      </c>
      <c r="C74" s="18" t="n">
        <v>55</v>
      </c>
      <c r="D74" s="9" t="s">
        <v>443</v>
      </c>
      <c r="E74" s="11"/>
      <c r="F74" s="9" t="s">
        <v>444</v>
      </c>
      <c r="G74" s="11"/>
      <c r="H74" s="9" t="s">
        <v>445</v>
      </c>
      <c r="I74" s="11" t="str">
        <f aca="false">CONCATENATE("http://www.wikidata.org/entity/",H74)</f>
        <v>http://www.wikidata.org/entity/Q622370</v>
      </c>
      <c r="J74" s="11"/>
      <c r="K74" s="11"/>
      <c r="L74" s="11"/>
      <c r="M74" s="11"/>
      <c r="N74" s="9" t="s">
        <v>446</v>
      </c>
      <c r="O74" s="11" t="str">
        <f aca="false">CONCATENATE("http://filmportal.vocnet.org/html/category/",N74)</f>
        <v>http://filmportal.vocnet.org/html/category/c00050</v>
      </c>
      <c r="P74" s="9" t="s">
        <v>447</v>
      </c>
      <c r="Q74" s="9" t="s">
        <v>448</v>
      </c>
    </row>
    <row r="75" customFormat="false" ht="15" hidden="false" customHeight="false" outlineLevel="0" collapsed="false">
      <c r="A75" s="28" t="s">
        <v>449</v>
      </c>
      <c r="B75" s="2" t="n">
        <v>58</v>
      </c>
      <c r="C75" s="18" t="n">
        <v>55</v>
      </c>
      <c r="D75" s="9" t="s">
        <v>450</v>
      </c>
      <c r="E75" s="11"/>
      <c r="F75" s="9" t="s">
        <v>451</v>
      </c>
      <c r="G75" s="11"/>
      <c r="H75" s="9" t="s">
        <v>452</v>
      </c>
      <c r="I75" s="11" t="str">
        <f aca="false">CONCATENATE("http://www.wikidata.org/entity/",H75)</f>
        <v>http://www.wikidata.org/entity/Q93204</v>
      </c>
      <c r="J75" s="9" t="s">
        <v>453</v>
      </c>
      <c r="K75" s="11" t="str">
        <f aca="false">CONCATENATE("https://d-nb.info/gnd/",J75)</f>
        <v>https://d-nb.info/gnd/4012653-5</v>
      </c>
      <c r="L75" s="11" t="n">
        <v>300375156</v>
      </c>
      <c r="M75" s="11" t="str">
        <f aca="false">CONCATENATE("https://vocab.getty.edu/aat/",L75)</f>
        <v>https://vocab.getty.edu/aat/300375156</v>
      </c>
      <c r="N75" s="9" t="s">
        <v>454</v>
      </c>
      <c r="O75" s="11" t="str">
        <f aca="false">CONCATENATE("http://filmportal.vocnet.org/html/category/",N75)</f>
        <v>http://filmportal.vocnet.org/html/category/c00007</v>
      </c>
      <c r="P75" s="9" t="s">
        <v>455</v>
      </c>
      <c r="Q75" s="9" t="s">
        <v>456</v>
      </c>
    </row>
    <row r="76" customFormat="false" ht="15" hidden="false" customHeight="false" outlineLevel="0" collapsed="false">
      <c r="A76" s="28" t="s">
        <v>457</v>
      </c>
      <c r="B76" s="2" t="n">
        <v>59</v>
      </c>
      <c r="C76" s="18" t="n">
        <v>58</v>
      </c>
      <c r="D76" s="9" t="s">
        <v>458</v>
      </c>
      <c r="E76" s="11"/>
      <c r="F76" s="9" t="s">
        <v>459</v>
      </c>
      <c r="G76" s="11"/>
      <c r="H76" s="9" t="s">
        <v>460</v>
      </c>
      <c r="I76" s="11" t="str">
        <f aca="false">CONCATENATE("http://www.wikidata.org/entity/",H76)</f>
        <v>http://www.wikidata.org/entity/Q121742706</v>
      </c>
      <c r="J76" s="11"/>
      <c r="K76" s="11"/>
      <c r="L76" s="11"/>
      <c r="M76" s="11"/>
      <c r="N76" s="9" t="s">
        <v>461</v>
      </c>
      <c r="O76" s="11" t="str">
        <f aca="false">CONCATENATE("http://filmportal.vocnet.org/html/category/",N76)</f>
        <v>http://filmportal.vocnet.org/html/category/c00019</v>
      </c>
      <c r="P76" s="9" t="s">
        <v>462</v>
      </c>
      <c r="Q76" s="9" t="s">
        <v>463</v>
      </c>
    </row>
    <row r="77" customFormat="false" ht="15" hidden="false" customHeight="false" outlineLevel="0" collapsed="false">
      <c r="A77" s="28" t="s">
        <v>464</v>
      </c>
      <c r="B77" s="2" t="n">
        <v>60</v>
      </c>
      <c r="C77" s="18" t="n">
        <v>55</v>
      </c>
      <c r="D77" s="9" t="s">
        <v>465</v>
      </c>
      <c r="E77" s="9" t="s">
        <v>466</v>
      </c>
      <c r="F77" s="9" t="s">
        <v>467</v>
      </c>
      <c r="G77" s="11"/>
      <c r="H77" s="9" t="s">
        <v>468</v>
      </c>
      <c r="I77" s="11" t="str">
        <f aca="false">CONCATENATE("http://www.wikidata.org/entity/",H77)</f>
        <v>http://www.wikidata.org/entity/Q103076</v>
      </c>
      <c r="J77" s="9" t="s">
        <v>469</v>
      </c>
      <c r="K77" s="11" t="str">
        <f aca="false">CONCATENATE("https://d-nb.info/gnd/",J77)</f>
        <v>https://d-nb.info/gnd/4127976-1</v>
      </c>
      <c r="L77" s="11" t="n">
        <v>300026491</v>
      </c>
      <c r="M77" s="11" t="str">
        <f aca="false">CONCATENATE("https://vocab.getty.edu/aat/",L77)</f>
        <v>https://vocab.getty.edu/aat/300026491</v>
      </c>
      <c r="N77" s="11"/>
      <c r="O77" s="11"/>
      <c r="P77" s="9" t="s">
        <v>470</v>
      </c>
      <c r="Q77" s="9" t="s">
        <v>471</v>
      </c>
    </row>
    <row r="78" customFormat="false" ht="15" hidden="false" customHeight="false" outlineLevel="0" collapsed="false">
      <c r="A78" s="28" t="s">
        <v>472</v>
      </c>
      <c r="B78" s="2" t="n">
        <v>61</v>
      </c>
      <c r="C78" s="18" t="n">
        <v>55</v>
      </c>
      <c r="D78" s="9" t="s">
        <v>473</v>
      </c>
      <c r="E78" s="11"/>
      <c r="F78" s="9" t="s">
        <v>473</v>
      </c>
      <c r="G78" s="9" t="s">
        <v>474</v>
      </c>
      <c r="H78" s="9" t="s">
        <v>475</v>
      </c>
      <c r="I78" s="11" t="str">
        <f aca="false">CONCATENATE("http://www.wikidata.org/entity/",H78)</f>
        <v>http://www.wikidata.org/entity/Q1983062</v>
      </c>
      <c r="J78" s="9" t="s">
        <v>476</v>
      </c>
      <c r="K78" s="11" t="str">
        <f aca="false">CONCATENATE("https://d-nb.info/gnd/",J78)</f>
        <v>https://d-nb.info/gnd/4113453-9</v>
      </c>
      <c r="L78" s="11"/>
      <c r="M78" s="11"/>
      <c r="N78" s="11"/>
      <c r="O78" s="11"/>
      <c r="P78" s="9" t="s">
        <v>477</v>
      </c>
      <c r="Q78" s="9" t="s">
        <v>477</v>
      </c>
    </row>
    <row r="79" customFormat="false" ht="15" hidden="false" customHeight="false" outlineLevel="0" collapsed="false">
      <c r="A79" s="28" t="s">
        <v>478</v>
      </c>
      <c r="B79" s="2" t="n">
        <v>62</v>
      </c>
      <c r="C79" s="18" t="n">
        <v>55</v>
      </c>
      <c r="D79" s="9" t="s">
        <v>479</v>
      </c>
      <c r="E79" s="11"/>
      <c r="F79" s="9" t="s">
        <v>480</v>
      </c>
      <c r="G79" s="9" t="s">
        <v>481</v>
      </c>
      <c r="H79" s="9" t="s">
        <v>482</v>
      </c>
      <c r="I79" s="11" t="str">
        <f aca="false">CONCATENATE("http://www.wikidata.org/entity/",H79)</f>
        <v>http://www.wikidata.org/entity/Q336144</v>
      </c>
      <c r="J79" s="9" t="s">
        <v>483</v>
      </c>
      <c r="K79" s="11" t="str">
        <f aca="false">CONCATENATE("https://d-nb.info/gnd/",J79)</f>
        <v>https://d-nb.info/gnd/4248221-5</v>
      </c>
      <c r="L79" s="11"/>
      <c r="M79" s="11"/>
      <c r="N79" s="11"/>
      <c r="O79" s="11"/>
      <c r="P79" s="9" t="s">
        <v>484</v>
      </c>
      <c r="Q79" s="9" t="s">
        <v>485</v>
      </c>
    </row>
    <row r="80" customFormat="false" ht="15" hidden="false" customHeight="false" outlineLevel="0" collapsed="false">
      <c r="A80" s="28" t="s">
        <v>486</v>
      </c>
      <c r="B80" s="2" t="n">
        <v>63</v>
      </c>
      <c r="C80" s="18" t="n">
        <v>55</v>
      </c>
      <c r="D80" s="9" t="s">
        <v>487</v>
      </c>
      <c r="E80" s="11"/>
      <c r="F80" s="9" t="s">
        <v>488</v>
      </c>
      <c r="G80" s="9" t="s">
        <v>489</v>
      </c>
      <c r="H80" s="9" t="s">
        <v>490</v>
      </c>
      <c r="I80" s="11" t="str">
        <f aca="false">CONCATENATE("http://www.wikidata.org/entity/",H80)</f>
        <v>http://www.wikidata.org/entity/Q11356864</v>
      </c>
      <c r="J80" s="9" t="s">
        <v>491</v>
      </c>
      <c r="K80" s="11" t="str">
        <f aca="false">CONCATENATE("https://d-nb.info/gnd/",J80)</f>
        <v>https://d-nb.info/gnd/4279316-6</v>
      </c>
      <c r="L80" s="11"/>
      <c r="M80" s="11"/>
      <c r="N80" s="11"/>
      <c r="O80" s="11"/>
      <c r="P80" s="9" t="s">
        <v>492</v>
      </c>
      <c r="Q80" s="9" t="s">
        <v>493</v>
      </c>
    </row>
    <row r="81" customFormat="false" ht="15" hidden="false" customHeight="false" outlineLevel="0" collapsed="false">
      <c r="A81" s="28" t="s">
        <v>494</v>
      </c>
      <c r="B81" s="2" t="n">
        <v>64</v>
      </c>
      <c r="C81" s="18" t="n">
        <v>55</v>
      </c>
      <c r="D81" s="9" t="s">
        <v>495</v>
      </c>
      <c r="E81" s="11"/>
      <c r="F81" s="9" t="s">
        <v>495</v>
      </c>
      <c r="G81" s="11"/>
      <c r="H81" s="9" t="s">
        <v>496</v>
      </c>
      <c r="I81" s="11" t="str">
        <f aca="false">CONCATENATE("http://www.wikidata.org/entity/",H81)</f>
        <v>http://www.wikidata.org/entity/Q117104066</v>
      </c>
      <c r="J81" s="11" t="n">
        <v>1168277388</v>
      </c>
      <c r="K81" s="11" t="str">
        <f aca="false">CONCATENATE("https://d-nb.info/gnd/",J81)</f>
        <v>https://d-nb.info/gnd/1168277388</v>
      </c>
      <c r="L81" s="11"/>
      <c r="M81" s="11"/>
      <c r="N81" s="11"/>
      <c r="O81" s="11"/>
      <c r="P81" s="9" t="s">
        <v>497</v>
      </c>
      <c r="Q81" s="9" t="s">
        <v>497</v>
      </c>
    </row>
    <row r="82" customFormat="false" ht="15" hidden="false" customHeight="false" outlineLevel="0" collapsed="false">
      <c r="A82" s="28" t="s">
        <v>498</v>
      </c>
      <c r="B82" s="2" t="n">
        <v>65</v>
      </c>
      <c r="C82" s="18" t="n">
        <v>55</v>
      </c>
      <c r="D82" s="9" t="s">
        <v>499</v>
      </c>
      <c r="E82" s="11"/>
      <c r="F82" s="9" t="s">
        <v>500</v>
      </c>
      <c r="G82" s="11"/>
      <c r="H82" s="9" t="s">
        <v>501</v>
      </c>
      <c r="I82" s="11" t="str">
        <f aca="false">CONCATENATE("http://www.wikidata.org/entity/",H82)</f>
        <v>http://www.wikidata.org/entity/Q790192</v>
      </c>
      <c r="J82" s="9" t="s">
        <v>502</v>
      </c>
      <c r="K82" s="11" t="str">
        <f aca="false">CONCATENATE("https://d-nb.info/gnd/",J82)</f>
        <v>https://d-nb.info/gnd/4153359-8</v>
      </c>
      <c r="L82" s="11" t="n">
        <v>300263845</v>
      </c>
      <c r="M82" s="11" t="str">
        <f aca="false">CONCATENATE("https://vocab.getty.edu/aat/",L82)</f>
        <v>https://vocab.getty.edu/aat/300263845</v>
      </c>
      <c r="N82" s="9" t="s">
        <v>503</v>
      </c>
      <c r="O82" s="11" t="str">
        <f aca="false">CONCATENATE("http://filmportal.vocnet.org/html/category/",N82)</f>
        <v>http://filmportal.vocnet.org/html/category/c00011</v>
      </c>
      <c r="P82" s="9" t="s">
        <v>504</v>
      </c>
      <c r="Q82" s="9" t="s">
        <v>505</v>
      </c>
    </row>
    <row r="83" customFormat="false" ht="15" hidden="false" customHeight="false" outlineLevel="0" collapsed="false">
      <c r="A83" s="28" t="s">
        <v>506</v>
      </c>
      <c r="B83" s="2" t="n">
        <v>66</v>
      </c>
      <c r="C83" s="18" t="n">
        <v>55</v>
      </c>
      <c r="D83" s="9" t="s">
        <v>507</v>
      </c>
      <c r="E83" s="11"/>
      <c r="F83" s="9" t="s">
        <v>508</v>
      </c>
      <c r="G83" s="9" t="s">
        <v>509</v>
      </c>
      <c r="H83" s="9" t="s">
        <v>510</v>
      </c>
      <c r="I83" s="11" t="str">
        <f aca="false">CONCATENATE("http://www.wikidata.org/entity/",H83)</f>
        <v>http://www.wikidata.org/entity/Q455315</v>
      </c>
      <c r="J83" s="11"/>
      <c r="K83" s="11"/>
      <c r="L83" s="11" t="n">
        <v>300263842</v>
      </c>
      <c r="M83" s="11" t="str">
        <f aca="false">CONCATENATE("https://vocab.getty.edu/aat/",L83)</f>
        <v>https://vocab.getty.edu/aat/300263842</v>
      </c>
      <c r="N83" s="9" t="s">
        <v>511</v>
      </c>
      <c r="O83" s="11" t="str">
        <f aca="false">CONCATENATE("http://filmportal.vocnet.org/html/category/",N83)</f>
        <v>http://filmportal.vocnet.org/html/category/c00013</v>
      </c>
      <c r="P83" s="9" t="s">
        <v>512</v>
      </c>
      <c r="Q83" s="9" t="s">
        <v>513</v>
      </c>
    </row>
    <row r="84" customFormat="false" ht="15" hidden="false" customHeight="false" outlineLevel="0" collapsed="false">
      <c r="A84" s="28" t="s">
        <v>514</v>
      </c>
      <c r="B84" s="2" t="n">
        <v>67</v>
      </c>
      <c r="C84" s="18" t="n">
        <v>55</v>
      </c>
      <c r="D84" s="9" t="s">
        <v>515</v>
      </c>
      <c r="E84" s="11"/>
      <c r="F84" s="9" t="s">
        <v>515</v>
      </c>
      <c r="G84" s="11"/>
      <c r="H84" s="9" t="s">
        <v>516</v>
      </c>
      <c r="I84" s="11" t="str">
        <f aca="false">CONCATENATE("http://www.wikidata.org/entity/",H84)</f>
        <v>http://www.wikidata.org/entity/Q459435</v>
      </c>
      <c r="J84" s="9" t="s">
        <v>517</v>
      </c>
      <c r="K84" s="11" t="str">
        <f aca="false">CONCATENATE("https://d-nb.info/gnd/",J84)</f>
        <v>https://d-nb.info/gnd/7738916-5</v>
      </c>
      <c r="L84" s="11"/>
      <c r="M84" s="11"/>
      <c r="N84" s="11"/>
      <c r="O84" s="11"/>
      <c r="P84" s="9" t="s">
        <v>518</v>
      </c>
      <c r="Q84" s="9" t="s">
        <v>518</v>
      </c>
    </row>
    <row r="85" customFormat="false" ht="15" hidden="false" customHeight="false" outlineLevel="0" collapsed="false">
      <c r="A85" s="28" t="s">
        <v>519</v>
      </c>
      <c r="B85" s="2" t="n">
        <v>68</v>
      </c>
      <c r="C85" s="18" t="n">
        <v>55</v>
      </c>
      <c r="D85" s="9" t="s">
        <v>520</v>
      </c>
      <c r="E85" s="11"/>
      <c r="F85" s="9" t="s">
        <v>521</v>
      </c>
      <c r="G85" s="11"/>
      <c r="H85" s="9" t="s">
        <v>522</v>
      </c>
      <c r="I85" s="11" t="str">
        <f aca="false">CONCATENATE("http://www.wikidata.org/entity/",H85)</f>
        <v>http://www.wikidata.org/entity/Q842256</v>
      </c>
      <c r="J85" s="9" t="s">
        <v>523</v>
      </c>
      <c r="K85" s="11" t="str">
        <f aca="false">CONCATENATE("https://d-nb.info/gnd/",J85)</f>
        <v>https://d-nb.info/gnd/4170822-2</v>
      </c>
      <c r="L85" s="11"/>
      <c r="M85" s="11"/>
      <c r="N85" s="11"/>
      <c r="O85" s="11"/>
      <c r="P85" s="9" t="s">
        <v>524</v>
      </c>
      <c r="Q85" s="9" t="s">
        <v>525</v>
      </c>
    </row>
    <row r="86" customFormat="false" ht="15" hidden="false" customHeight="false" outlineLevel="0" collapsed="false">
      <c r="A86" s="28" t="s">
        <v>526</v>
      </c>
      <c r="B86" s="2" t="n">
        <v>69</v>
      </c>
      <c r="C86" s="18" t="n">
        <v>55</v>
      </c>
      <c r="D86" s="9" t="s">
        <v>527</v>
      </c>
      <c r="E86" s="11"/>
      <c r="F86" s="9" t="s">
        <v>528</v>
      </c>
      <c r="G86" s="11"/>
      <c r="H86" s="9" t="s">
        <v>529</v>
      </c>
      <c r="I86" s="11" t="str">
        <f aca="false">CONCATENATE("http://www.wikidata.org/entity/",H86)</f>
        <v>http://www.wikidata.org/entity/Q193977</v>
      </c>
      <c r="J86" s="9" t="s">
        <v>530</v>
      </c>
      <c r="K86" s="11" t="str">
        <f aca="false">CONCATENATE("https://d-nb.info/gnd/",J86)</f>
        <v>https://d-nb.info/gnd/4492539-6</v>
      </c>
      <c r="L86" s="11"/>
      <c r="M86" s="11"/>
      <c r="N86" s="9" t="s">
        <v>531</v>
      </c>
      <c r="O86" s="11" t="str">
        <f aca="false">CONCATENATE("http://filmportal.vocnet.org/html/category/",N86)</f>
        <v>http://filmportal.vocnet.org/html/category/c00017</v>
      </c>
      <c r="P86" s="9" t="s">
        <v>532</v>
      </c>
      <c r="Q86" s="9" t="s">
        <v>533</v>
      </c>
    </row>
    <row r="87" customFormat="false" ht="15" hidden="false" customHeight="false" outlineLevel="0" collapsed="false">
      <c r="A87" s="28" t="s">
        <v>534</v>
      </c>
      <c r="B87" s="2" t="n">
        <v>70</v>
      </c>
      <c r="C87" s="18" t="n">
        <v>55</v>
      </c>
      <c r="D87" s="9" t="s">
        <v>535</v>
      </c>
      <c r="E87" s="11"/>
      <c r="F87" s="9" t="s">
        <v>535</v>
      </c>
      <c r="G87" s="11"/>
      <c r="H87" s="9" t="s">
        <v>536</v>
      </c>
      <c r="I87" s="11" t="str">
        <f aca="false">CONCATENATE("http://www.wikidata.org/entity/",H87)</f>
        <v>http://www.wikidata.org/entity/Q124922</v>
      </c>
      <c r="J87" s="9" t="s">
        <v>537</v>
      </c>
      <c r="K87" s="11" t="str">
        <f aca="false">CONCATENATE("https://d-nb.info/gnd/",J87)</f>
        <v>https://d-nb.info/gnd/4049528-0</v>
      </c>
      <c r="L87" s="11"/>
      <c r="M87" s="11"/>
      <c r="N87" s="11"/>
      <c r="O87" s="11"/>
      <c r="P87" s="9" t="s">
        <v>538</v>
      </c>
      <c r="Q87" s="9" t="s">
        <v>538</v>
      </c>
    </row>
    <row r="88" customFormat="false" ht="15" hidden="false" customHeight="false" outlineLevel="0" collapsed="false">
      <c r="A88" s="28" t="s">
        <v>539</v>
      </c>
      <c r="B88" s="2" t="n">
        <v>71</v>
      </c>
      <c r="C88" s="18" t="n">
        <v>55</v>
      </c>
      <c r="D88" s="9" t="s">
        <v>540</v>
      </c>
      <c r="E88" s="11"/>
      <c r="F88" s="9" t="s">
        <v>540</v>
      </c>
      <c r="G88" s="11"/>
      <c r="H88" s="9" t="s">
        <v>541</v>
      </c>
      <c r="I88" s="11" t="str">
        <f aca="false">CONCATENATE("http://www.wikidata.org/entity/",H88)</f>
        <v>http://www.wikidata.org/entity/Q217199</v>
      </c>
      <c r="J88" s="9" t="s">
        <v>542</v>
      </c>
      <c r="K88" s="11" t="str">
        <f aca="false">CONCATENATE("https://d-nb.info/gnd/",J88)</f>
        <v>https://d-nb.info/gnd/4017129-2</v>
      </c>
      <c r="L88" s="11" t="n">
        <v>300263865</v>
      </c>
      <c r="M88" s="11" t="str">
        <f aca="false">CONCATENATE("https://vocab.getty.edu/aat/",L88)</f>
        <v>https://vocab.getty.edu/aat/300263865</v>
      </c>
      <c r="N88" s="11"/>
      <c r="O88" s="11"/>
      <c r="P88" s="9" t="s">
        <v>543</v>
      </c>
      <c r="Q88" s="9" t="s">
        <v>543</v>
      </c>
    </row>
    <row r="89" customFormat="false" ht="15" hidden="false" customHeight="false" outlineLevel="0" collapsed="false">
      <c r="A89" s="28" t="s">
        <v>544</v>
      </c>
      <c r="B89" s="2" t="n">
        <v>72</v>
      </c>
      <c r="C89" s="18" t="n">
        <v>55</v>
      </c>
      <c r="D89" s="9" t="s">
        <v>545</v>
      </c>
      <c r="E89" s="9" t="s">
        <v>546</v>
      </c>
      <c r="F89" s="9" t="s">
        <v>547</v>
      </c>
      <c r="G89" s="9" t="s">
        <v>548</v>
      </c>
      <c r="H89" s="9" t="s">
        <v>549</v>
      </c>
      <c r="I89" s="11" t="str">
        <f aca="false">CONCATENATE("http://www.wikidata.org/entity/",H89)</f>
        <v>http://www.wikidata.org/entity/Q12912091</v>
      </c>
      <c r="J89" s="11" t="n">
        <v>1286825091</v>
      </c>
      <c r="K89" s="11" t="str">
        <f aca="false">CONCATENATE("https://d-nb.info/gnd/",J89)</f>
        <v>https://d-nb.info/gnd/1286825091</v>
      </c>
      <c r="L89" s="11" t="n">
        <v>300263847</v>
      </c>
      <c r="M89" s="11" t="str">
        <f aca="false">CONCATENATE("https://vocab.getty.edu/aat/",L89)</f>
        <v>https://vocab.getty.edu/aat/300263847</v>
      </c>
      <c r="N89" s="9" t="s">
        <v>550</v>
      </c>
      <c r="O89" s="11" t="str">
        <f aca="false">CONCATENATE("http://filmportal.vocnet.org/html/category/",N89)</f>
        <v>http://filmportal.vocnet.org/html/category/c00003</v>
      </c>
      <c r="P89" s="9" t="s">
        <v>551</v>
      </c>
      <c r="Q89" s="9" t="s">
        <v>552</v>
      </c>
    </row>
    <row r="90" customFormat="false" ht="15" hidden="false" customHeight="false" outlineLevel="0" collapsed="false">
      <c r="A90" s="28" t="s">
        <v>553</v>
      </c>
      <c r="B90" s="2" t="n">
        <v>73</v>
      </c>
      <c r="C90" s="18" t="n">
        <v>72</v>
      </c>
      <c r="D90" s="9" t="s">
        <v>554</v>
      </c>
      <c r="E90" s="11"/>
      <c r="F90" s="9" t="s">
        <v>555</v>
      </c>
      <c r="G90" s="9" t="s">
        <v>556</v>
      </c>
      <c r="H90" s="9" t="s">
        <v>557</v>
      </c>
      <c r="I90" s="11" t="str">
        <f aca="false">CONCATENATE("http://www.wikidata.org/entity/",H90)</f>
        <v>http://www.wikidata.org/entity/Q24862</v>
      </c>
      <c r="J90" s="9" t="s">
        <v>558</v>
      </c>
      <c r="K90" s="11" t="str">
        <f aca="false">CONCATENATE("https://d-nb.info/gnd/",J90)</f>
        <v>https://d-nb.info/gnd/4166233-7</v>
      </c>
      <c r="L90" s="11" t="n">
        <v>300263846</v>
      </c>
      <c r="M90" s="11" t="str">
        <f aca="false">CONCATENATE("https://vocab.getty.edu/aat/",L90)</f>
        <v>https://vocab.getty.edu/aat/300263846</v>
      </c>
      <c r="N90" s="11"/>
      <c r="O90" s="11"/>
      <c r="P90" s="9" t="s">
        <v>559</v>
      </c>
      <c r="Q90" s="9" t="s">
        <v>560</v>
      </c>
    </row>
    <row r="91" customFormat="false" ht="15" hidden="false" customHeight="false" outlineLevel="0" collapsed="false">
      <c r="A91" s="28" t="s">
        <v>561</v>
      </c>
      <c r="B91" s="2" t="n">
        <v>74</v>
      </c>
      <c r="C91" s="18" t="n">
        <v>55</v>
      </c>
      <c r="D91" s="9" t="s">
        <v>562</v>
      </c>
      <c r="E91" s="11"/>
      <c r="F91" s="9" t="s">
        <v>563</v>
      </c>
      <c r="G91" s="9" t="s">
        <v>564</v>
      </c>
      <c r="H91" s="9" t="s">
        <v>565</v>
      </c>
      <c r="I91" s="11" t="str">
        <f aca="false">CONCATENATE("http://www.wikidata.org/entity/",H91)</f>
        <v>http://www.wikidata.org/entity/Q622550</v>
      </c>
      <c r="J91" s="9" t="s">
        <v>566</v>
      </c>
      <c r="K91" s="11" t="str">
        <f aca="false">CONCATENATE("https://d-nb.info/gnd/",J91)</f>
        <v>https://d-nb.info/gnd/4349797-4</v>
      </c>
      <c r="L91" s="11" t="n">
        <v>300263866</v>
      </c>
      <c r="M91" s="11" t="str">
        <f aca="false">CONCATENATE("https://vocab.getty.edu/aat/",L91)</f>
        <v>https://vocab.getty.edu/aat/300263866</v>
      </c>
      <c r="N91" s="9" t="s">
        <v>567</v>
      </c>
      <c r="O91" s="11" t="str">
        <f aca="false">CONCATENATE("http://filmportal.vocnet.org/html/category/",N91)</f>
        <v>http://filmportal.vocnet.org/html/category/c00005</v>
      </c>
      <c r="P91" s="9" t="s">
        <v>568</v>
      </c>
      <c r="Q91" s="9" t="s">
        <v>569</v>
      </c>
    </row>
    <row r="92" customFormat="false" ht="15" hidden="false" customHeight="false" outlineLevel="0" collapsed="false">
      <c r="A92" s="28" t="s">
        <v>570</v>
      </c>
      <c r="B92" s="2" t="n">
        <v>75</v>
      </c>
      <c r="C92" s="18" t="n">
        <v>55</v>
      </c>
      <c r="D92" s="9" t="s">
        <v>571</v>
      </c>
      <c r="E92" s="9" t="s">
        <v>572</v>
      </c>
      <c r="F92" s="9" t="s">
        <v>573</v>
      </c>
      <c r="G92" s="9" t="s">
        <v>574</v>
      </c>
      <c r="H92" s="9" t="s">
        <v>575</v>
      </c>
      <c r="I92" s="11" t="str">
        <f aca="false">CONCATENATE("http://www.wikidata.org/entity/",H92)</f>
        <v>http://www.wikidata.org/entity/Q15416</v>
      </c>
      <c r="J92" s="9" t="s">
        <v>576</v>
      </c>
      <c r="K92" s="11" t="str">
        <f aca="false">CONCATENATE("https://d-nb.info/gnd/",J92)</f>
        <v>https://d-nb.info/gnd/4016842-6</v>
      </c>
      <c r="L92" s="11" t="n">
        <v>300263432</v>
      </c>
      <c r="M92" s="11" t="str">
        <f aca="false">CONCATENATE("https://vocab.getty.edu/aat/",L92)</f>
        <v>https://vocab.getty.edu/aat/300263432</v>
      </c>
      <c r="N92" s="11"/>
      <c r="O92" s="11"/>
      <c r="P92" s="9" t="s">
        <v>577</v>
      </c>
      <c r="Q92" s="9" t="s">
        <v>578</v>
      </c>
    </row>
    <row r="93" customFormat="false" ht="15" hidden="false" customHeight="false" outlineLevel="0" collapsed="false">
      <c r="A93" s="28" t="s">
        <v>579</v>
      </c>
      <c r="B93" s="2" t="n">
        <v>76</v>
      </c>
      <c r="C93" s="18" t="n">
        <v>55</v>
      </c>
      <c r="D93" s="9" t="s">
        <v>580</v>
      </c>
      <c r="E93" s="9" t="s">
        <v>581</v>
      </c>
      <c r="F93" s="9" t="s">
        <v>582</v>
      </c>
      <c r="G93" s="9" t="s">
        <v>583</v>
      </c>
      <c r="H93" s="9" t="s">
        <v>584</v>
      </c>
      <c r="I93" s="11" t="str">
        <f aca="false">CONCATENATE("http://www.wikidata.org/entity/",H93)</f>
        <v>http://www.wikidata.org/entity/Q526877</v>
      </c>
      <c r="J93" s="11" t="n">
        <v>1224905261</v>
      </c>
      <c r="K93" s="11" t="str">
        <f aca="false">CONCATENATE("https://d-nb.info/gnd/",J93)</f>
        <v>https://d-nb.info/gnd/1224905261</v>
      </c>
      <c r="L93" s="11"/>
      <c r="M93" s="11"/>
      <c r="N93" s="11"/>
      <c r="O93" s="11"/>
      <c r="P93" s="9" t="s">
        <v>585</v>
      </c>
      <c r="Q93" s="9" t="s">
        <v>586</v>
      </c>
    </row>
    <row r="94" customFormat="false" ht="15" hidden="false" customHeight="false" outlineLevel="0" collapsed="false">
      <c r="A94" s="28" t="s">
        <v>587</v>
      </c>
      <c r="B94" s="2" t="n">
        <v>77</v>
      </c>
      <c r="C94" s="18" t="n">
        <v>55</v>
      </c>
      <c r="D94" s="9" t="s">
        <v>588</v>
      </c>
      <c r="E94" s="9" t="s">
        <v>589</v>
      </c>
      <c r="F94" s="9" t="s">
        <v>590</v>
      </c>
      <c r="G94" s="9" t="s">
        <v>591</v>
      </c>
      <c r="H94" s="9" t="s">
        <v>592</v>
      </c>
      <c r="I94" s="11" t="str">
        <f aca="false">CONCATENATE("http://www.wikidata.org/entity/",H94)</f>
        <v>http://www.wikidata.org/entity/Q1869909</v>
      </c>
      <c r="J94" s="9" t="s">
        <v>593</v>
      </c>
      <c r="K94" s="11" t="str">
        <f aca="false">CONCATENATE("https://d-nb.info/gnd/",J94)</f>
        <v>https://d-nb.info/gnd/4197734-8</v>
      </c>
      <c r="L94" s="11"/>
      <c r="M94" s="11"/>
      <c r="N94" s="9" t="s">
        <v>594</v>
      </c>
      <c r="O94" s="11" t="str">
        <f aca="false">CONCATENATE("http://filmportal.vocnet.org/html/category/",N94)</f>
        <v>http://filmportal.vocnet.org/html/category/c00002</v>
      </c>
      <c r="P94" s="9" t="s">
        <v>595</v>
      </c>
      <c r="Q94" s="9" t="s">
        <v>596</v>
      </c>
    </row>
    <row r="95" customFormat="false" ht="15" hidden="false" customHeight="false" outlineLevel="0" collapsed="false">
      <c r="A95" s="28" t="s">
        <v>597</v>
      </c>
      <c r="B95" s="2" t="n">
        <v>78</v>
      </c>
      <c r="C95" s="18"/>
      <c r="D95" s="9" t="s">
        <v>598</v>
      </c>
      <c r="E95" s="9" t="s">
        <v>599</v>
      </c>
      <c r="F95" s="9" t="s">
        <v>600</v>
      </c>
      <c r="G95" s="9" t="s">
        <v>601</v>
      </c>
      <c r="H95" s="9" t="s">
        <v>602</v>
      </c>
      <c r="I95" s="11" t="str">
        <f aca="false">CONCATENATE("http://www.wikidata.org/entity/",H95)</f>
        <v>http://www.wikidata.org/entity/Q838948</v>
      </c>
      <c r="J95" s="9" t="s">
        <v>603</v>
      </c>
      <c r="K95" s="11" t="str">
        <f aca="false">CONCATENATE("https://d-nb.info/gnd/",J95)</f>
        <v>https://d-nb.info/gnd/4114333-4</v>
      </c>
      <c r="L95" s="11" t="n">
        <v>300179869</v>
      </c>
      <c r="M95" s="11" t="str">
        <f aca="false">CONCATENATE("https://vocab.getty.edu/aat/",L95)</f>
        <v>https://vocab.getty.edu/aat/300179869</v>
      </c>
      <c r="N95" s="11"/>
      <c r="O95" s="11"/>
      <c r="P95" s="9" t="s">
        <v>600</v>
      </c>
      <c r="Q95" s="9" t="s">
        <v>598</v>
      </c>
    </row>
    <row r="96" customFormat="false" ht="15" hidden="false" customHeight="false" outlineLevel="0" collapsed="false">
      <c r="A96" s="28" t="s">
        <v>604</v>
      </c>
      <c r="B96" s="2" t="n">
        <v>79</v>
      </c>
      <c r="C96" s="18" t="n">
        <v>78</v>
      </c>
      <c r="D96" s="9" t="s">
        <v>605</v>
      </c>
      <c r="E96" s="11"/>
      <c r="F96" s="9" t="s">
        <v>605</v>
      </c>
      <c r="G96" s="11"/>
      <c r="H96" s="9" t="s">
        <v>606</v>
      </c>
      <c r="I96" s="11" t="str">
        <f aca="false">CONCATENATE("http://www.wikidata.org/entity/",H96)</f>
        <v>http://www.wikidata.org/entity/Q2561815</v>
      </c>
      <c r="J96" s="11" t="n">
        <v>1151401021</v>
      </c>
      <c r="K96" s="11" t="str">
        <f aca="false">CONCATENATE("https://d-nb.info/gnd/",J96)</f>
        <v>https://d-nb.info/gnd/1151401021</v>
      </c>
      <c r="L96" s="11" t="n">
        <v>300443553</v>
      </c>
      <c r="M96" s="11" t="str">
        <f aca="false">CONCATENATE("https://vocab.getty.edu/aat/",L96)</f>
        <v>https://vocab.getty.edu/aat/300443553</v>
      </c>
      <c r="N96" s="11"/>
      <c r="O96" s="11"/>
      <c r="P96" s="9" t="s">
        <v>607</v>
      </c>
      <c r="Q96" s="9" t="s">
        <v>608</v>
      </c>
    </row>
    <row r="97" customFormat="false" ht="15" hidden="false" customHeight="false" outlineLevel="0" collapsed="false">
      <c r="A97" s="28" t="s">
        <v>609</v>
      </c>
      <c r="B97" s="2" t="n">
        <v>80</v>
      </c>
      <c r="C97" s="18" t="n">
        <v>78</v>
      </c>
      <c r="D97" s="9" t="s">
        <v>610</v>
      </c>
      <c r="E97" s="11"/>
      <c r="F97" s="9" t="s">
        <v>611</v>
      </c>
      <c r="G97" s="9" t="s">
        <v>612</v>
      </c>
      <c r="H97" s="9" t="s">
        <v>613</v>
      </c>
      <c r="I97" s="11" t="str">
        <f aca="false">CONCATENATE("http://www.wikidata.org/entity/",H97)</f>
        <v>http://www.wikidata.org/entity/Q860372</v>
      </c>
      <c r="J97" s="9" t="s">
        <v>614</v>
      </c>
      <c r="K97" s="11" t="str">
        <f aca="false">CONCATENATE("https://d-nb.info/gnd/",J97)</f>
        <v>https://d-nb.info/gnd/4010453-9</v>
      </c>
      <c r="L97" s="11" t="n">
        <v>300069478</v>
      </c>
      <c r="M97" s="11" t="str">
        <f aca="false">CONCATENATE("https://vocab.getty.edu/aat/",L97)</f>
        <v>https://vocab.getty.edu/aat/300069478</v>
      </c>
      <c r="N97" s="11"/>
      <c r="O97" s="11"/>
      <c r="P97" s="9" t="s">
        <v>615</v>
      </c>
      <c r="Q97" s="9" t="s">
        <v>616</v>
      </c>
    </row>
    <row r="98" customFormat="false" ht="15" hidden="false" customHeight="false" outlineLevel="0" collapsed="false">
      <c r="A98" s="28" t="s">
        <v>617</v>
      </c>
      <c r="B98" s="2" t="n">
        <v>81</v>
      </c>
      <c r="C98" s="18" t="n">
        <v>80</v>
      </c>
      <c r="D98" s="9" t="s">
        <v>618</v>
      </c>
      <c r="E98" s="9" t="s">
        <v>619</v>
      </c>
      <c r="F98" s="9" t="s">
        <v>618</v>
      </c>
      <c r="G98" s="9" t="s">
        <v>620</v>
      </c>
      <c r="H98" s="9" t="s">
        <v>621</v>
      </c>
      <c r="I98" s="11" t="str">
        <f aca="false">CONCATENATE("http://www.wikidata.org/entity/",H98)</f>
        <v>http://www.wikidata.org/entity/Q254183</v>
      </c>
      <c r="J98" s="9" t="s">
        <v>622</v>
      </c>
      <c r="K98" s="11" t="str">
        <f aca="false">CONCATENATE("https://d-nb.info/gnd/",J98)</f>
        <v>https://d-nb.info/gnd/4715802-5</v>
      </c>
      <c r="L98" s="11" t="n">
        <v>300387555</v>
      </c>
      <c r="M98" s="11" t="str">
        <f aca="false">CONCATENATE("https://vocab.getty.edu/aat/",L98)</f>
        <v>https://vocab.getty.edu/aat/300387555</v>
      </c>
      <c r="N98" s="11"/>
      <c r="O98" s="11"/>
      <c r="P98" s="9" t="s">
        <v>623</v>
      </c>
      <c r="Q98" s="9" t="s">
        <v>624</v>
      </c>
    </row>
    <row r="99" customFormat="false" ht="15" hidden="false" customHeight="false" outlineLevel="0" collapsed="false">
      <c r="A99" s="28" t="s">
        <v>625</v>
      </c>
      <c r="B99" s="2" t="n">
        <v>82</v>
      </c>
      <c r="C99" s="18" t="n">
        <v>80</v>
      </c>
      <c r="D99" s="9" t="s">
        <v>626</v>
      </c>
      <c r="E99" s="11"/>
      <c r="F99" s="9" t="s">
        <v>626</v>
      </c>
      <c r="G99" s="11"/>
      <c r="H99" s="9" t="s">
        <v>627</v>
      </c>
      <c r="I99" s="11" t="str">
        <f aca="false">CONCATENATE("http://www.wikidata.org/entity/",H99)</f>
        <v>http://www.wikidata.org/entity/Q7982</v>
      </c>
      <c r="J99" s="9" t="s">
        <v>628</v>
      </c>
      <c r="K99" s="11" t="str">
        <f aca="false">CONCATENATE("https://d-nb.info/gnd/",J99)</f>
        <v>https://d-nb.info/gnd/4139307-7</v>
      </c>
      <c r="L99" s="11" t="n">
        <v>300196583</v>
      </c>
      <c r="M99" s="11" t="str">
        <f aca="false">CONCATENATE("https://vocab.getty.edu/aat/",L99)</f>
        <v>https://vocab.getty.edu/aat/300196583</v>
      </c>
      <c r="N99" s="11"/>
      <c r="O99" s="11"/>
      <c r="P99" s="9" t="s">
        <v>629</v>
      </c>
      <c r="Q99" s="9" t="s">
        <v>630</v>
      </c>
    </row>
    <row r="100" customFormat="false" ht="15" hidden="false" customHeight="false" outlineLevel="0" collapsed="false">
      <c r="A100" s="28" t="s">
        <v>631</v>
      </c>
      <c r="B100" s="2" t="n">
        <v>83</v>
      </c>
      <c r="C100" s="18" t="n">
        <v>80</v>
      </c>
      <c r="D100" s="9" t="s">
        <v>632</v>
      </c>
      <c r="E100" s="9" t="s">
        <v>633</v>
      </c>
      <c r="F100" s="9" t="s">
        <v>632</v>
      </c>
      <c r="G100" s="9" t="s">
        <v>634</v>
      </c>
      <c r="H100" s="9" t="s">
        <v>635</v>
      </c>
      <c r="I100" s="11" t="str">
        <f aca="false">CONCATENATE("http://www.wikidata.org/entity/",H100)</f>
        <v>http://www.wikidata.org/entity/Q6002306</v>
      </c>
      <c r="J100" s="9" t="s">
        <v>636</v>
      </c>
      <c r="K100" s="11" t="str">
        <f aca="false">CONCATENATE("https://d-nb.info/gnd/",J100)</f>
        <v>https://d-nb.info/gnd/4197506-6</v>
      </c>
      <c r="L100" s="11" t="n">
        <v>300266307</v>
      </c>
      <c r="M100" s="11" t="str">
        <f aca="false">CONCATENATE("https://vocab.getty.edu/aat/",L100)</f>
        <v>https://vocab.getty.edu/aat/300266307</v>
      </c>
      <c r="N100" s="11"/>
      <c r="O100" s="11"/>
      <c r="P100" s="9" t="s">
        <v>637</v>
      </c>
      <c r="Q100" s="9" t="s">
        <v>638</v>
      </c>
    </row>
    <row r="101" customFormat="false" ht="15" hidden="false" customHeight="false" outlineLevel="0" collapsed="false">
      <c r="A101" s="28" t="s">
        <v>639</v>
      </c>
      <c r="B101" s="2" t="n">
        <v>84</v>
      </c>
      <c r="C101" s="18" t="n">
        <v>80</v>
      </c>
      <c r="D101" s="9" t="s">
        <v>640</v>
      </c>
      <c r="E101" s="11"/>
      <c r="F101" s="9" t="s">
        <v>641</v>
      </c>
      <c r="G101" s="11"/>
      <c r="H101" s="9" t="s">
        <v>642</v>
      </c>
      <c r="I101" s="11" t="str">
        <f aca="false">CONCATENATE("http://www.wikidata.org/entity/",H101)</f>
        <v>http://www.wikidata.org/entity/Q1401416</v>
      </c>
      <c r="J101" s="9" t="s">
        <v>643</v>
      </c>
      <c r="K101" s="11" t="str">
        <f aca="false">CONCATENATE("https://d-nb.info/gnd/",J101)</f>
        <v>https://d-nb.info/gnd/4199710-4</v>
      </c>
      <c r="L101" s="11" t="n">
        <v>300053161</v>
      </c>
      <c r="M101" s="11" t="str">
        <f aca="false">CONCATENATE("https://vocab.getty.edu/aat/",L101)</f>
        <v>https://vocab.getty.edu/aat/300053161</v>
      </c>
      <c r="N101" s="11"/>
      <c r="O101" s="11"/>
      <c r="P101" s="9" t="s">
        <v>644</v>
      </c>
      <c r="Q101" s="9" t="s">
        <v>645</v>
      </c>
    </row>
    <row r="102" customFormat="false" ht="15" hidden="false" customHeight="false" outlineLevel="0" collapsed="false">
      <c r="A102" s="28" t="s">
        <v>646</v>
      </c>
      <c r="B102" s="2" t="n">
        <v>85</v>
      </c>
      <c r="C102" s="18" t="n">
        <v>80</v>
      </c>
      <c r="D102" s="9" t="s">
        <v>647</v>
      </c>
      <c r="E102" s="9" t="s">
        <v>648</v>
      </c>
      <c r="F102" s="9" t="s">
        <v>649</v>
      </c>
      <c r="G102" s="9" t="s">
        <v>650</v>
      </c>
      <c r="H102" s="9" t="s">
        <v>651</v>
      </c>
      <c r="I102" s="11" t="str">
        <f aca="false">CONCATENATE("http://www.wikidata.org/entity/",H102)</f>
        <v>http://www.wikidata.org/entity/Q7889</v>
      </c>
      <c r="J102" s="9" t="s">
        <v>652</v>
      </c>
      <c r="K102" s="11" t="str">
        <f aca="false">CONCATENATE("https://d-nb.info/gnd/",J102)</f>
        <v>https://d-nb.info/gnd/4010457-6</v>
      </c>
      <c r="L102" s="11" t="n">
        <v>300256888</v>
      </c>
      <c r="M102" s="11" t="str">
        <f aca="false">CONCATENATE("https://vocab.getty.edu/aat/",L102)</f>
        <v>https://vocab.getty.edu/aat/300256888</v>
      </c>
      <c r="N102" s="11"/>
      <c r="O102" s="11"/>
      <c r="P102" s="9" t="s">
        <v>653</v>
      </c>
      <c r="Q102" s="9" t="s">
        <v>654</v>
      </c>
    </row>
    <row r="103" customFormat="false" ht="15" hidden="false" customHeight="false" outlineLevel="0" collapsed="false">
      <c r="A103" s="28" t="s">
        <v>655</v>
      </c>
      <c r="B103" s="2" t="n">
        <v>86</v>
      </c>
      <c r="C103" s="18" t="n">
        <v>80</v>
      </c>
      <c r="D103" s="9" t="s">
        <v>656</v>
      </c>
      <c r="E103" s="11"/>
      <c r="F103" s="9" t="s">
        <v>657</v>
      </c>
      <c r="G103" s="11"/>
      <c r="H103" s="9" t="s">
        <v>658</v>
      </c>
      <c r="I103" s="11" t="str">
        <f aca="false">CONCATENATE("http://www.wikidata.org/entity/",H103)</f>
        <v>http://www.wikidata.org/entity/Q1502032</v>
      </c>
      <c r="J103" s="11"/>
      <c r="K103" s="11"/>
      <c r="L103" s="11" t="n">
        <v>300266042</v>
      </c>
      <c r="M103" s="11" t="str">
        <f aca="false">CONCATENATE("https://vocab.getty.edu/aat/",L103)</f>
        <v>https://vocab.getty.edu/aat/300266042</v>
      </c>
      <c r="N103" s="11"/>
      <c r="O103" s="11"/>
      <c r="P103" s="9" t="s">
        <v>659</v>
      </c>
      <c r="Q103" s="9" t="s">
        <v>660</v>
      </c>
    </row>
    <row r="104" customFormat="false" ht="15" hidden="false" customHeight="false" outlineLevel="0" collapsed="false">
      <c r="A104" s="28" t="s">
        <v>661</v>
      </c>
      <c r="B104" s="2" t="n">
        <v>87</v>
      </c>
      <c r="C104" s="18" t="n">
        <v>80</v>
      </c>
      <c r="D104" s="9" t="s">
        <v>662</v>
      </c>
      <c r="E104" s="11"/>
      <c r="F104" s="9" t="s">
        <v>663</v>
      </c>
      <c r="G104" s="11"/>
      <c r="H104" s="9" t="s">
        <v>664</v>
      </c>
      <c r="I104" s="11" t="str">
        <f aca="false">CONCATENATE("http://www.wikidata.org/entity/",H104)</f>
        <v>http://www.wikidata.org/entity/Q2394336</v>
      </c>
      <c r="J104" s="9" t="s">
        <v>665</v>
      </c>
      <c r="K104" s="11" t="str">
        <f aca="false">CONCATENATE("https://d-nb.info/gnd/",J104)</f>
        <v>https://d-nb.info/gnd/4557518-6</v>
      </c>
      <c r="L104" s="11" t="n">
        <v>300266754</v>
      </c>
      <c r="M104" s="11" t="str">
        <f aca="false">CONCATENATE("https://vocab.getty.edu/aat/",L104)</f>
        <v>https://vocab.getty.edu/aat/300266754</v>
      </c>
      <c r="N104" s="11"/>
      <c r="O104" s="11"/>
      <c r="P104" s="9" t="s">
        <v>666</v>
      </c>
      <c r="Q104" s="9" t="s">
        <v>667</v>
      </c>
    </row>
    <row r="105" customFormat="false" ht="15" hidden="false" customHeight="false" outlineLevel="0" collapsed="false">
      <c r="A105" s="28" t="s">
        <v>668</v>
      </c>
      <c r="B105" s="2" t="n">
        <v>88</v>
      </c>
      <c r="C105" s="18" t="n">
        <v>80</v>
      </c>
      <c r="D105" s="9" t="s">
        <v>669</v>
      </c>
      <c r="E105" s="9" t="s">
        <v>670</v>
      </c>
      <c r="F105" s="9" t="s">
        <v>671</v>
      </c>
      <c r="G105" s="9" t="s">
        <v>672</v>
      </c>
      <c r="H105" s="9" t="s">
        <v>673</v>
      </c>
      <c r="I105" s="11" t="str">
        <f aca="false">CONCATENATE("http://www.wikidata.org/entity/",H105)</f>
        <v>http://www.wikidata.org/entity/Q1569950</v>
      </c>
      <c r="J105" s="9" t="s">
        <v>674</v>
      </c>
      <c r="K105" s="11" t="str">
        <f aca="false">CONCATENATE("https://d-nb.info/gnd/",J105)</f>
        <v>https://d-nb.info/gnd/4571611-0</v>
      </c>
      <c r="L105" s="11" t="n">
        <v>300419940</v>
      </c>
      <c r="M105" s="11" t="str">
        <f aca="false">CONCATENATE("https://vocab.getty.edu/aat/",L105)</f>
        <v>https://vocab.getty.edu/aat/300419940</v>
      </c>
      <c r="N105" s="11"/>
      <c r="O105" s="11"/>
      <c r="P105" s="9" t="s">
        <v>675</v>
      </c>
      <c r="Q105" s="9" t="s">
        <v>676</v>
      </c>
    </row>
    <row r="106" customFormat="false" ht="15" hidden="false" customHeight="false" outlineLevel="0" collapsed="false">
      <c r="A106" s="28" t="s">
        <v>677</v>
      </c>
      <c r="B106" s="2" t="n">
        <v>89</v>
      </c>
      <c r="C106" s="18" t="n">
        <v>80</v>
      </c>
      <c r="D106" s="9" t="s">
        <v>678</v>
      </c>
      <c r="E106" s="11"/>
      <c r="F106" s="9" t="s">
        <v>678</v>
      </c>
      <c r="G106" s="9" t="s">
        <v>679</v>
      </c>
      <c r="H106" s="9" t="s">
        <v>680</v>
      </c>
      <c r="I106" s="11" t="str">
        <f aca="false">CONCATENATE("http://www.wikidata.org/entity/",H106)</f>
        <v>http://www.wikidata.org/entity/Q2864686</v>
      </c>
      <c r="J106" s="11"/>
      <c r="K106" s="11"/>
      <c r="L106" s="11"/>
      <c r="M106" s="11"/>
      <c r="N106" s="11"/>
      <c r="O106" s="11"/>
      <c r="P106" s="9" t="s">
        <v>681</v>
      </c>
      <c r="Q106" s="9" t="s">
        <v>682</v>
      </c>
    </row>
    <row r="107" customFormat="false" ht="15" hidden="false" customHeight="false" outlineLevel="0" collapsed="false">
      <c r="A107" s="28" t="s">
        <v>683</v>
      </c>
      <c r="B107" s="2" t="n">
        <v>90</v>
      </c>
      <c r="C107" s="18" t="n">
        <v>80</v>
      </c>
      <c r="D107" s="9" t="s">
        <v>684</v>
      </c>
      <c r="E107" s="9" t="s">
        <v>685</v>
      </c>
      <c r="F107" s="9" t="s">
        <v>684</v>
      </c>
      <c r="G107" s="9" t="s">
        <v>686</v>
      </c>
      <c r="H107" s="9" t="s">
        <v>687</v>
      </c>
      <c r="I107" s="11" t="str">
        <f aca="false">CONCATENATE("http://www.wikidata.org/entity/",H107)</f>
        <v>http://www.wikidata.org/entity/Q47146</v>
      </c>
      <c r="J107" s="9" t="s">
        <v>688</v>
      </c>
      <c r="K107" s="11" t="str">
        <f aca="false">CONCATENATE("https://d-nb.info/gnd/",J107)</f>
        <v>https://d-nb.info/gnd/4720440-0</v>
      </c>
      <c r="L107" s="11"/>
      <c r="M107" s="11"/>
      <c r="N107" s="11"/>
      <c r="O107" s="11"/>
      <c r="P107" s="9" t="s">
        <v>689</v>
      </c>
      <c r="Q107" s="9" t="s">
        <v>690</v>
      </c>
    </row>
    <row r="108" customFormat="false" ht="15" hidden="false" customHeight="false" outlineLevel="0" collapsed="false">
      <c r="A108" s="28" t="s">
        <v>691</v>
      </c>
      <c r="B108" s="2" t="n">
        <v>91</v>
      </c>
      <c r="C108" s="18" t="n">
        <v>80</v>
      </c>
      <c r="D108" s="9" t="s">
        <v>692</v>
      </c>
      <c r="E108" s="9" t="s">
        <v>693</v>
      </c>
      <c r="F108" s="9" t="s">
        <v>692</v>
      </c>
      <c r="G108" s="9" t="s">
        <v>694</v>
      </c>
      <c r="H108" s="9" t="s">
        <v>695</v>
      </c>
      <c r="I108" s="11" t="str">
        <f aca="false">CONCATENATE("http://www.wikidata.org/entity/",H108)</f>
        <v>http://www.wikidata.org/entity/Q170519</v>
      </c>
      <c r="J108" s="9" t="s">
        <v>696</v>
      </c>
      <c r="K108" s="11" t="str">
        <f aca="false">CONCATENATE("https://d-nb.info/gnd/",J108)</f>
        <v>https://d-nb.info/gnd/4399931-1</v>
      </c>
      <c r="L108" s="11" t="n">
        <v>300238469</v>
      </c>
      <c r="M108" s="11" t="str">
        <f aca="false">CONCATENATE("https://vocab.getty.edu/aat/",L108)</f>
        <v>https://vocab.getty.edu/aat/300238469</v>
      </c>
      <c r="N108" s="11"/>
      <c r="O108" s="11"/>
      <c r="P108" s="9" t="s">
        <v>697</v>
      </c>
      <c r="Q108" s="9" t="s">
        <v>698</v>
      </c>
    </row>
    <row r="109" customFormat="false" ht="15" hidden="false" customHeight="false" outlineLevel="0" collapsed="false">
      <c r="A109" s="28" t="s">
        <v>699</v>
      </c>
      <c r="B109" s="2" t="n">
        <v>92</v>
      </c>
      <c r="C109" s="18" t="n">
        <v>80</v>
      </c>
      <c r="D109" s="9" t="s">
        <v>580</v>
      </c>
      <c r="E109" s="9" t="s">
        <v>581</v>
      </c>
      <c r="F109" s="9" t="s">
        <v>582</v>
      </c>
      <c r="G109" s="9" t="s">
        <v>583</v>
      </c>
      <c r="H109" s="9" t="s">
        <v>584</v>
      </c>
      <c r="I109" s="11" t="str">
        <f aca="false">CONCATENATE("http://www.wikidata.org/entity/",H109)</f>
        <v>http://www.wikidata.org/entity/Q526877</v>
      </c>
      <c r="J109" s="11" t="n">
        <v>1224905261</v>
      </c>
      <c r="K109" s="11" t="str">
        <f aca="false">CONCATENATE("https://d-nb.info/gnd/",J109)</f>
        <v>https://d-nb.info/gnd/1224905261</v>
      </c>
      <c r="L109" s="11"/>
      <c r="M109" s="11"/>
      <c r="N109" s="11"/>
      <c r="O109" s="11"/>
      <c r="P109" s="9" t="s">
        <v>700</v>
      </c>
      <c r="Q109" s="9" t="s">
        <v>701</v>
      </c>
    </row>
    <row r="110" customFormat="false" ht="15" hidden="false" customHeight="false" outlineLevel="0" collapsed="false">
      <c r="A110" s="28" t="s">
        <v>702</v>
      </c>
      <c r="B110" s="2" t="n">
        <v>93</v>
      </c>
      <c r="C110" s="18" t="n">
        <v>78</v>
      </c>
      <c r="D110" s="9" t="s">
        <v>703</v>
      </c>
      <c r="E110" s="9" t="s">
        <v>704</v>
      </c>
      <c r="F110" s="9" t="s">
        <v>703</v>
      </c>
      <c r="G110" s="9" t="s">
        <v>705</v>
      </c>
      <c r="H110" s="9" t="s">
        <v>706</v>
      </c>
      <c r="I110" s="11" t="str">
        <f aca="false">CONCATENATE("http://www.wikidata.org/entity/",H110)</f>
        <v>http://www.wikidata.org/entity/Q20437094</v>
      </c>
      <c r="J110" s="9" t="s">
        <v>707</v>
      </c>
      <c r="K110" s="11" t="str">
        <f aca="false">CONCATENATE("https://d-nb.info/gnd/",J110)</f>
        <v>https://d-nb.info/gnd/4131808-0</v>
      </c>
      <c r="L110" s="11" t="n">
        <v>300047896</v>
      </c>
      <c r="M110" s="11" t="str">
        <f aca="false">CONCATENATE("https://vocab.getty.edu/aat/",L110)</f>
        <v>https://vocab.getty.edu/aat/300047896</v>
      </c>
      <c r="N110" s="11"/>
      <c r="O110" s="11"/>
      <c r="P110" s="9" t="s">
        <v>708</v>
      </c>
      <c r="Q110" s="9" t="s">
        <v>709</v>
      </c>
    </row>
    <row r="111" customFormat="false" ht="15" hidden="false" customHeight="false" outlineLevel="0" collapsed="false">
      <c r="A111" s="28" t="s">
        <v>710</v>
      </c>
      <c r="B111" s="2" t="n">
        <v>94</v>
      </c>
      <c r="C111" s="18" t="n">
        <v>93</v>
      </c>
      <c r="D111" s="9" t="s">
        <v>711</v>
      </c>
      <c r="E111" s="11"/>
      <c r="F111" s="9" t="s">
        <v>712</v>
      </c>
      <c r="G111" s="11"/>
      <c r="H111" s="9" t="s">
        <v>713</v>
      </c>
      <c r="I111" s="11" t="str">
        <f aca="false">CONCATENATE("http://www.wikidata.org/entity/",H111)</f>
        <v>http://www.wikidata.org/entity/Q117021891</v>
      </c>
      <c r="J111" s="9" t="s">
        <v>714</v>
      </c>
      <c r="K111" s="11" t="str">
        <f aca="false">CONCATENATE("https://d-nb.info/gnd/",J111)</f>
        <v>https://d-nb.info/gnd/4395048-6</v>
      </c>
      <c r="L111" s="11"/>
      <c r="M111" s="11"/>
      <c r="N111" s="11"/>
      <c r="O111" s="11"/>
      <c r="P111" s="9" t="s">
        <v>715</v>
      </c>
      <c r="Q111" s="9" t="s">
        <v>716</v>
      </c>
    </row>
    <row r="112" customFormat="false" ht="15" hidden="false" customHeight="false" outlineLevel="0" collapsed="false">
      <c r="A112" s="28" t="s">
        <v>717</v>
      </c>
      <c r="B112" s="2" t="n">
        <v>95</v>
      </c>
      <c r="C112" s="18" t="n">
        <v>93</v>
      </c>
      <c r="D112" s="9" t="s">
        <v>662</v>
      </c>
      <c r="E112" s="11"/>
      <c r="F112" s="9" t="s">
        <v>663</v>
      </c>
      <c r="G112" s="11"/>
      <c r="H112" s="9" t="s">
        <v>664</v>
      </c>
      <c r="I112" s="11" t="str">
        <f aca="false">CONCATENATE("http://www.wikidata.org/entity/",H112)</f>
        <v>http://www.wikidata.org/entity/Q2394336</v>
      </c>
      <c r="J112" s="9" t="s">
        <v>665</v>
      </c>
      <c r="K112" s="11" t="str">
        <f aca="false">CONCATENATE("https://d-nb.info/gnd/",J112)</f>
        <v>https://d-nb.info/gnd/4557518-6</v>
      </c>
      <c r="L112" s="11" t="n">
        <v>300266754</v>
      </c>
      <c r="M112" s="11" t="str">
        <f aca="false">CONCATENATE("https://vocab.getty.edu/aat/",L112)</f>
        <v>https://vocab.getty.edu/aat/300266754</v>
      </c>
      <c r="N112" s="11"/>
      <c r="O112" s="11"/>
      <c r="P112" s="9" t="s">
        <v>718</v>
      </c>
      <c r="Q112" s="9" t="s">
        <v>719</v>
      </c>
    </row>
    <row r="113" customFormat="false" ht="15" hidden="false" customHeight="false" outlineLevel="0" collapsed="false">
      <c r="A113" s="28" t="s">
        <v>720</v>
      </c>
      <c r="B113" s="2" t="n">
        <v>96</v>
      </c>
      <c r="C113" s="18" t="n">
        <v>93</v>
      </c>
      <c r="D113" s="9" t="s">
        <v>721</v>
      </c>
      <c r="E113" s="11"/>
      <c r="F113" s="9" t="s">
        <v>721</v>
      </c>
      <c r="G113" s="11"/>
      <c r="H113" s="9" t="s">
        <v>722</v>
      </c>
      <c r="I113" s="11" t="str">
        <f aca="false">CONCATENATE("http://www.wikidata.org/entity/",H113)</f>
        <v>http://www.wikidata.org/entity/Q3937287</v>
      </c>
      <c r="J113" s="11"/>
      <c r="K113" s="11"/>
      <c r="L113" s="11" t="n">
        <v>300266371</v>
      </c>
      <c r="M113" s="11" t="str">
        <f aca="false">CONCATENATE("https://vocab.getty.edu/aat/",L113)</f>
        <v>https://vocab.getty.edu/aat/300266371</v>
      </c>
      <c r="N113" s="11"/>
      <c r="O113" s="11"/>
      <c r="P113" s="9" t="s">
        <v>723</v>
      </c>
      <c r="Q113" s="9" t="s">
        <v>724</v>
      </c>
    </row>
    <row r="114" customFormat="false" ht="15" hidden="false" customHeight="false" outlineLevel="0" collapsed="false">
      <c r="A114" s="28" t="s">
        <v>725</v>
      </c>
      <c r="B114" s="2" t="n">
        <v>97</v>
      </c>
      <c r="C114" s="18" t="n">
        <v>93</v>
      </c>
      <c r="D114" s="9" t="s">
        <v>726</v>
      </c>
      <c r="E114" s="11"/>
      <c r="F114" s="9" t="s">
        <v>727</v>
      </c>
      <c r="G114" s="11"/>
      <c r="H114" s="9" t="s">
        <v>728</v>
      </c>
      <c r="I114" s="11" t="str">
        <f aca="false">CONCATENATE("http://www.wikidata.org/entity/",H114)</f>
        <v>http://www.wikidata.org/entity/Q2633362</v>
      </c>
      <c r="J114" s="11"/>
      <c r="K114" s="11"/>
      <c r="L114" s="11" t="n">
        <v>300387585</v>
      </c>
      <c r="M114" s="11" t="str">
        <f aca="false">CONCATENATE("https://vocab.getty.edu/aat/",L114)</f>
        <v>https://vocab.getty.edu/aat/300387585</v>
      </c>
      <c r="N114" s="11"/>
      <c r="O114" s="11"/>
      <c r="P114" s="9" t="s">
        <v>729</v>
      </c>
      <c r="Q114" s="9" t="s">
        <v>730</v>
      </c>
    </row>
    <row r="115" customFormat="false" ht="15" hidden="false" customHeight="false" outlineLevel="0" collapsed="false">
      <c r="A115" s="28" t="s">
        <v>731</v>
      </c>
      <c r="B115" s="2" t="n">
        <v>98</v>
      </c>
      <c r="C115" s="18" t="n">
        <v>93</v>
      </c>
      <c r="D115" s="9" t="s">
        <v>732</v>
      </c>
      <c r="E115" s="11"/>
      <c r="F115" s="9" t="s">
        <v>733</v>
      </c>
      <c r="G115" s="11"/>
      <c r="H115" s="9" t="s">
        <v>734</v>
      </c>
      <c r="I115" s="11" t="str">
        <f aca="false">CONCATENATE("http://www.wikidata.org/entity/",H115)</f>
        <v>http://www.wikidata.org/entity/Q1726794</v>
      </c>
      <c r="J115" s="9" t="s">
        <v>735</v>
      </c>
      <c r="K115" s="11" t="str">
        <f aca="false">CONCATENATE("https://d-nb.info/gnd/",J115)</f>
        <v>https://d-nb.info/gnd/4114334-6</v>
      </c>
      <c r="L115" s="11"/>
      <c r="M115" s="11"/>
      <c r="N115" s="11"/>
      <c r="O115" s="11"/>
      <c r="P115" s="9" t="s">
        <v>736</v>
      </c>
      <c r="Q115" s="9" t="s">
        <v>737</v>
      </c>
    </row>
    <row r="116" customFormat="false" ht="15" hidden="false" customHeight="false" outlineLevel="0" collapsed="false">
      <c r="A116" s="28" t="s">
        <v>738</v>
      </c>
      <c r="B116" s="2" t="n">
        <v>99</v>
      </c>
      <c r="C116" s="18" t="n">
        <v>93</v>
      </c>
      <c r="D116" s="9" t="s">
        <v>739</v>
      </c>
      <c r="E116" s="11"/>
      <c r="F116" s="9" t="s">
        <v>740</v>
      </c>
      <c r="G116" s="11"/>
      <c r="H116" s="9" t="s">
        <v>741</v>
      </c>
      <c r="I116" s="11" t="str">
        <f aca="false">CONCATENATE("http://www.wikidata.org/entity/",H116)</f>
        <v>http://www.wikidata.org/entity/Q557141</v>
      </c>
      <c r="J116" s="11" t="n">
        <v>1024012069</v>
      </c>
      <c r="K116" s="11" t="str">
        <f aca="false">CONCATENATE("https://d-nb.info/gnd/",J116)</f>
        <v>https://d-nb.info/gnd/1024012069</v>
      </c>
      <c r="L116" s="11" t="n">
        <v>300056501</v>
      </c>
      <c r="M116" s="11" t="str">
        <f aca="false">CONCATENATE("https://vocab.getty.edu/aat/",L116)</f>
        <v>https://vocab.getty.edu/aat/300056501</v>
      </c>
      <c r="N116" s="11"/>
      <c r="O116" s="11"/>
      <c r="P116" s="9" t="s">
        <v>742</v>
      </c>
      <c r="Q116" s="9" t="s">
        <v>743</v>
      </c>
    </row>
    <row r="117" customFormat="false" ht="15" hidden="false" customHeight="false" outlineLevel="0" collapsed="false">
      <c r="A117" s="28" t="s">
        <v>744</v>
      </c>
      <c r="B117" s="2" t="n">
        <v>100</v>
      </c>
      <c r="C117" s="18" t="n">
        <v>93</v>
      </c>
      <c r="D117" s="9" t="s">
        <v>745</v>
      </c>
      <c r="E117" s="11"/>
      <c r="F117" s="9" t="s">
        <v>746</v>
      </c>
      <c r="G117" s="11"/>
      <c r="H117" s="9" t="s">
        <v>747</v>
      </c>
      <c r="I117" s="11" t="str">
        <f aca="false">CONCATENATE("http://www.wikidata.org/entity/",H117)</f>
        <v>http://www.wikidata.org/entity/Q1823448</v>
      </c>
      <c r="J117" s="9" t="s">
        <v>748</v>
      </c>
      <c r="K117" s="11" t="str">
        <f aca="false">CONCATENATE("https://d-nb.info/gnd/",J117)</f>
        <v>https://d-nb.info/gnd/4614008-6</v>
      </c>
      <c r="L117" s="11"/>
      <c r="M117" s="11"/>
      <c r="N117" s="11"/>
      <c r="O117" s="11"/>
      <c r="P117" s="9" t="s">
        <v>749</v>
      </c>
      <c r="Q117" s="9" t="s">
        <v>750</v>
      </c>
    </row>
    <row r="118" customFormat="false" ht="15" hidden="false" customHeight="false" outlineLevel="0" collapsed="false">
      <c r="A118" s="28" t="s">
        <v>751</v>
      </c>
      <c r="B118" s="2" t="n">
        <v>101</v>
      </c>
      <c r="C118" s="18" t="n">
        <v>93</v>
      </c>
      <c r="D118" s="9" t="s">
        <v>752</v>
      </c>
      <c r="E118" s="11"/>
      <c r="F118" s="9" t="s">
        <v>753</v>
      </c>
      <c r="G118" s="11"/>
      <c r="H118" s="9" t="s">
        <v>754</v>
      </c>
      <c r="I118" s="11" t="str">
        <f aca="false">CONCATENATE("http://www.wikidata.org/entity/",H118)</f>
        <v>http://www.wikidata.org/entity/Q550484</v>
      </c>
      <c r="J118" s="9" t="s">
        <v>755</v>
      </c>
      <c r="K118" s="11" t="str">
        <f aca="false">CONCATENATE("https://d-nb.info/gnd/",J118)</f>
        <v>https://d-nb.info/gnd/4347940-6</v>
      </c>
      <c r="L118" s="11"/>
      <c r="M118" s="11"/>
      <c r="N118" s="11"/>
      <c r="O118" s="11"/>
      <c r="P118" s="9" t="s">
        <v>756</v>
      </c>
      <c r="Q118" s="9" t="s">
        <v>757</v>
      </c>
    </row>
    <row r="119" customFormat="false" ht="15" hidden="false" customHeight="false" outlineLevel="0" collapsed="false">
      <c r="A119" s="28" t="s">
        <v>758</v>
      </c>
      <c r="B119" s="2" t="n">
        <v>102</v>
      </c>
      <c r="C119" s="18" t="n">
        <v>78</v>
      </c>
      <c r="D119" s="9" t="s">
        <v>759</v>
      </c>
      <c r="E119" s="11"/>
      <c r="F119" s="9" t="s">
        <v>760</v>
      </c>
      <c r="G119" s="9" t="s">
        <v>761</v>
      </c>
      <c r="H119" s="9" t="s">
        <v>762</v>
      </c>
      <c r="I119" s="11" t="str">
        <f aca="false">CONCATENATE("http://www.wikidata.org/entity/",H119)</f>
        <v>http://www.wikidata.org/entity/Q1744327</v>
      </c>
      <c r="J119" s="9" t="s">
        <v>763</v>
      </c>
      <c r="K119" s="11" t="str">
        <f aca="false">CONCATENATE("https://d-nb.info/gnd/",J119)</f>
        <v>https://d-nb.info/gnd/4430771-8</v>
      </c>
      <c r="L119" s="11" t="n">
        <v>300387583</v>
      </c>
      <c r="M119" s="11" t="str">
        <f aca="false">CONCATENATE("https://vocab.getty.edu/aat/",L119)</f>
        <v>https://vocab.getty.edu/aat/300387583</v>
      </c>
      <c r="N119" s="11"/>
      <c r="O119" s="11"/>
      <c r="P119" s="9" t="s">
        <v>764</v>
      </c>
      <c r="Q119" s="9" t="s">
        <v>765</v>
      </c>
    </row>
    <row r="120" customFormat="false" ht="15" hidden="false" customHeight="false" outlineLevel="0" collapsed="false">
      <c r="A120" s="28" t="s">
        <v>766</v>
      </c>
      <c r="B120" s="2" t="n">
        <v>103</v>
      </c>
      <c r="C120" s="18" t="n">
        <v>102</v>
      </c>
      <c r="D120" s="9" t="s">
        <v>767</v>
      </c>
      <c r="E120" s="11"/>
      <c r="F120" s="9" t="s">
        <v>767</v>
      </c>
      <c r="G120" s="11"/>
      <c r="H120" s="9" t="s">
        <v>768</v>
      </c>
      <c r="I120" s="11" t="str">
        <f aca="false">CONCATENATE("http://www.wikidata.org/entity/",H120)</f>
        <v>http://www.wikidata.org/entity/Q482994</v>
      </c>
      <c r="J120" s="11" t="n">
        <v>1077267533</v>
      </c>
      <c r="K120" s="11" t="str">
        <f aca="false">CONCATENATE("https://d-nb.info/gnd/",J120)</f>
        <v>https://d-nb.info/gnd/1077267533</v>
      </c>
      <c r="L120" s="11"/>
      <c r="M120" s="11"/>
      <c r="N120" s="11"/>
      <c r="O120" s="11"/>
      <c r="P120" s="9" t="s">
        <v>769</v>
      </c>
      <c r="Q120" s="9" t="s">
        <v>770</v>
      </c>
    </row>
    <row r="121" customFormat="false" ht="15" hidden="false" customHeight="false" outlineLevel="0" collapsed="false">
      <c r="A121" s="28" t="s">
        <v>771</v>
      </c>
      <c r="B121" s="2" t="n">
        <v>104</v>
      </c>
      <c r="C121" s="18" t="n">
        <v>102</v>
      </c>
      <c r="D121" s="9" t="s">
        <v>772</v>
      </c>
      <c r="E121" s="9" t="s">
        <v>773</v>
      </c>
      <c r="F121" s="9" t="s">
        <v>772</v>
      </c>
      <c r="G121" s="9" t="s">
        <v>774</v>
      </c>
      <c r="H121" s="9" t="s">
        <v>775</v>
      </c>
      <c r="I121" s="11" t="str">
        <f aca="false">CONCATENATE("http://www.wikidata.org/entity/",H121)</f>
        <v>http://www.wikidata.org/entity/Q360982</v>
      </c>
      <c r="J121" s="11" t="n">
        <v>1030305420</v>
      </c>
      <c r="K121" s="11" t="str">
        <f aca="false">CONCATENATE("https://d-nb.info/gnd/",J121)</f>
        <v>https://d-nb.info/gnd/1030305420</v>
      </c>
      <c r="L121" s="11" t="n">
        <v>300265794</v>
      </c>
      <c r="M121" s="11" t="str">
        <f aca="false">CONCATENATE("https://vocab.getty.edu/aat/",L121)</f>
        <v>https://vocab.getty.edu/aat/300265794</v>
      </c>
      <c r="N121" s="11"/>
      <c r="O121" s="11"/>
      <c r="P121" s="9" t="s">
        <v>776</v>
      </c>
      <c r="Q121" s="9" t="s">
        <v>777</v>
      </c>
    </row>
    <row r="122" customFormat="false" ht="15" hidden="false" customHeight="false" outlineLevel="0" collapsed="false">
      <c r="A122" s="28" t="s">
        <v>778</v>
      </c>
      <c r="B122" s="2" t="n">
        <v>105</v>
      </c>
      <c r="C122" s="18" t="n">
        <v>102</v>
      </c>
      <c r="D122" s="9" t="s">
        <v>779</v>
      </c>
      <c r="E122" s="11"/>
      <c r="F122" s="9" t="s">
        <v>780</v>
      </c>
      <c r="G122" s="11"/>
      <c r="H122" s="9" t="s">
        <v>781</v>
      </c>
      <c r="I122" s="11" t="str">
        <f aca="false">CONCATENATE("http://www.wikidata.org/entity/",H122)</f>
        <v>http://www.wikidata.org/entity/Q121788275</v>
      </c>
      <c r="J122" s="11" t="n">
        <v>1028557604</v>
      </c>
      <c r="K122" s="11" t="str">
        <f aca="false">CONCATENATE("https://d-nb.info/gnd/",J122)</f>
        <v>https://d-nb.info/gnd/1028557604</v>
      </c>
      <c r="L122" s="11"/>
      <c r="M122" s="11"/>
      <c r="N122" s="11"/>
      <c r="O122" s="11"/>
      <c r="P122" s="9" t="s">
        <v>782</v>
      </c>
      <c r="Q122" s="9" t="s">
        <v>783</v>
      </c>
    </row>
    <row r="123" customFormat="false" ht="15" hidden="false" customHeight="false" outlineLevel="0" collapsed="false">
      <c r="A123" s="28" t="s">
        <v>784</v>
      </c>
      <c r="B123" s="2" t="n">
        <v>106</v>
      </c>
      <c r="C123" s="18" t="n">
        <v>102</v>
      </c>
      <c r="D123" s="9" t="s">
        <v>726</v>
      </c>
      <c r="E123" s="11"/>
      <c r="F123" s="9" t="s">
        <v>727</v>
      </c>
      <c r="G123" s="11"/>
      <c r="H123" s="9" t="s">
        <v>728</v>
      </c>
      <c r="I123" s="11" t="str">
        <f aca="false">CONCATENATE("http://www.wikidata.org/entity/",H123)</f>
        <v>http://www.wikidata.org/entity/Q2633362</v>
      </c>
      <c r="J123" s="11"/>
      <c r="K123" s="11"/>
      <c r="L123" s="11" t="n">
        <v>300387585</v>
      </c>
      <c r="M123" s="11" t="str">
        <f aca="false">CONCATENATE("https://vocab.getty.edu/aat/",L123)</f>
        <v>https://vocab.getty.edu/aat/300387585</v>
      </c>
      <c r="N123" s="11"/>
      <c r="O123" s="11"/>
      <c r="P123" s="9" t="s">
        <v>785</v>
      </c>
      <c r="Q123" s="9" t="s">
        <v>786</v>
      </c>
    </row>
    <row r="124" customFormat="false" ht="15" hidden="false" customHeight="false" outlineLevel="0" collapsed="false">
      <c r="A124" s="28" t="s">
        <v>787</v>
      </c>
      <c r="B124" s="2" t="n">
        <v>107</v>
      </c>
      <c r="C124" s="18" t="n">
        <v>102</v>
      </c>
      <c r="D124" s="9" t="s">
        <v>788</v>
      </c>
      <c r="E124" s="11"/>
      <c r="F124" s="9" t="s">
        <v>789</v>
      </c>
      <c r="G124" s="9" t="s">
        <v>790</v>
      </c>
      <c r="H124" s="9" t="s">
        <v>791</v>
      </c>
      <c r="I124" s="11" t="str">
        <f aca="false">CONCATENATE("http://www.wikidata.org/entity/",H124)</f>
        <v>http://www.wikidata.org/entity/Q2236597</v>
      </c>
      <c r="J124" s="9" t="s">
        <v>792</v>
      </c>
      <c r="K124" s="11" t="str">
        <f aca="false">CONCATENATE("https://d-nb.info/gnd/",J124)</f>
        <v>https://d-nb.info/gnd/4364747-9</v>
      </c>
      <c r="L124" s="11" t="n">
        <v>300047267</v>
      </c>
      <c r="M124" s="11" t="str">
        <f aca="false">CONCATENATE("https://vocab.getty.edu/aat/",L124)</f>
        <v>https://vocab.getty.edu/aat/300047267</v>
      </c>
      <c r="N124" s="11"/>
      <c r="O124" s="11"/>
      <c r="P124" s="9" t="s">
        <v>793</v>
      </c>
      <c r="Q124" s="9" t="s">
        <v>794</v>
      </c>
    </row>
    <row r="125" customFormat="false" ht="15" hidden="false" customHeight="false" outlineLevel="0" collapsed="false">
      <c r="A125" s="28" t="s">
        <v>795</v>
      </c>
      <c r="B125" s="2" t="n">
        <v>108</v>
      </c>
      <c r="C125" s="18" t="n">
        <v>102</v>
      </c>
      <c r="D125" s="9" t="s">
        <v>796</v>
      </c>
      <c r="E125" s="11"/>
      <c r="F125" s="9" t="s">
        <v>797</v>
      </c>
      <c r="G125" s="11"/>
      <c r="H125" s="9" t="s">
        <v>798</v>
      </c>
      <c r="I125" s="11" t="str">
        <f aca="false">CONCATENATE("http://www.wikidata.org/entity/",H125)</f>
        <v>http://www.wikidata.org/entity/Q207628</v>
      </c>
      <c r="J125" s="9" t="s">
        <v>799</v>
      </c>
      <c r="K125" s="11" t="str">
        <f aca="false">CONCATENATE("https://d-nb.info/gnd/",J125)</f>
        <v>https://d-nb.info/gnd/4133320-2</v>
      </c>
      <c r="L125" s="11"/>
      <c r="M125" s="11"/>
      <c r="N125" s="11"/>
      <c r="O125" s="11"/>
      <c r="P125" s="9" t="s">
        <v>800</v>
      </c>
      <c r="Q125" s="9" t="s">
        <v>801</v>
      </c>
    </row>
    <row r="126" customFormat="false" ht="15" hidden="false" customHeight="false" outlineLevel="0" collapsed="false">
      <c r="A126" s="28" t="s">
        <v>802</v>
      </c>
      <c r="B126" s="2" t="n">
        <v>109</v>
      </c>
      <c r="C126" s="18" t="n">
        <v>102</v>
      </c>
      <c r="D126" s="9" t="s">
        <v>803</v>
      </c>
      <c r="E126" s="11"/>
      <c r="F126" s="9" t="s">
        <v>804</v>
      </c>
      <c r="G126" s="11"/>
      <c r="H126" s="9" t="s">
        <v>805</v>
      </c>
      <c r="I126" s="11" t="str">
        <f aca="false">CONCATENATE("http://www.wikidata.org/entity/",H126)</f>
        <v>http://www.wikidata.org/entity/Q182832</v>
      </c>
      <c r="J126" s="9" t="s">
        <v>806</v>
      </c>
      <c r="K126" s="11" t="str">
        <f aca="false">CONCATENATE("https://d-nb.info/gnd/",J126)</f>
        <v>https://d-nb.info/gnd/4317474-7</v>
      </c>
      <c r="L126" s="11" t="n">
        <v>300069210</v>
      </c>
      <c r="M126" s="11" t="str">
        <f aca="false">CONCATENATE("https://vocab.getty.edu/aat/",L126)</f>
        <v>https://vocab.getty.edu/aat/300069210</v>
      </c>
      <c r="N126" s="11"/>
      <c r="O126" s="11"/>
      <c r="P126" s="9" t="s">
        <v>807</v>
      </c>
      <c r="Q126" s="9" t="s">
        <v>808</v>
      </c>
    </row>
    <row r="127" customFormat="false" ht="15" hidden="false" customHeight="false" outlineLevel="0" collapsed="false">
      <c r="A127" s="28" t="s">
        <v>809</v>
      </c>
      <c r="B127" s="2" t="n">
        <v>110</v>
      </c>
      <c r="C127" s="18" t="n">
        <v>102</v>
      </c>
      <c r="D127" s="9" t="s">
        <v>540</v>
      </c>
      <c r="E127" s="11"/>
      <c r="F127" s="9" t="s">
        <v>540</v>
      </c>
      <c r="G127" s="11"/>
      <c r="H127" s="9" t="s">
        <v>541</v>
      </c>
      <c r="I127" s="11" t="str">
        <f aca="false">CONCATENATE("http://www.wikidata.org/entity/",H127)</f>
        <v>http://www.wikidata.org/entity/Q217199</v>
      </c>
      <c r="J127" s="9" t="s">
        <v>542</v>
      </c>
      <c r="K127" s="11" t="str">
        <f aca="false">CONCATENATE("https://d-nb.info/gnd/",J127)</f>
        <v>https://d-nb.info/gnd/4017129-2</v>
      </c>
      <c r="L127" s="11" t="n">
        <v>300263865</v>
      </c>
      <c r="M127" s="11" t="str">
        <f aca="false">CONCATENATE("https://vocab.getty.edu/aat/",L127)</f>
        <v>https://vocab.getty.edu/aat/300263865</v>
      </c>
      <c r="N127" s="11"/>
      <c r="O127" s="11"/>
      <c r="P127" s="9" t="s">
        <v>810</v>
      </c>
      <c r="Q127" s="9" t="s">
        <v>811</v>
      </c>
    </row>
    <row r="128" customFormat="false" ht="15" hidden="false" customHeight="false" outlineLevel="0" collapsed="false">
      <c r="A128" s="28" t="s">
        <v>812</v>
      </c>
      <c r="B128" s="2" t="n">
        <v>111</v>
      </c>
      <c r="C128" s="18" t="n">
        <v>78</v>
      </c>
      <c r="D128" s="9" t="s">
        <v>813</v>
      </c>
      <c r="E128" s="11"/>
      <c r="F128" s="9" t="s">
        <v>814</v>
      </c>
      <c r="G128" s="9" t="s">
        <v>815</v>
      </c>
      <c r="H128" s="9" t="s">
        <v>816</v>
      </c>
      <c r="I128" s="11" t="str">
        <f aca="false">CONCATENATE("http://www.wikidata.org/entity/",H128)</f>
        <v>http://www.wikidata.org/entity/Q121788724</v>
      </c>
      <c r="J128" s="11"/>
      <c r="K128" s="11"/>
      <c r="L128" s="11"/>
      <c r="M128" s="11"/>
      <c r="N128" s="11"/>
      <c r="O128" s="11"/>
      <c r="P128" s="9" t="s">
        <v>817</v>
      </c>
      <c r="Q128" s="9" t="s">
        <v>818</v>
      </c>
    </row>
    <row r="129" customFormat="false" ht="15" hidden="false" customHeight="false" outlineLevel="0" collapsed="false">
      <c r="A129" s="28" t="s">
        <v>819</v>
      </c>
      <c r="B129" s="2" t="n">
        <v>112</v>
      </c>
      <c r="C129" s="18" t="n">
        <v>111</v>
      </c>
      <c r="D129" s="9" t="s">
        <v>820</v>
      </c>
      <c r="E129" s="9" t="s">
        <v>821</v>
      </c>
      <c r="F129" s="9" t="s">
        <v>822</v>
      </c>
      <c r="G129" s="9" t="s">
        <v>823</v>
      </c>
      <c r="H129" s="9" t="s">
        <v>824</v>
      </c>
      <c r="I129" s="11" t="str">
        <f aca="false">CONCATENATE("http://www.wikidata.org/entity/",H129)</f>
        <v>http://www.wikidata.org/entity/Q1062404</v>
      </c>
      <c r="J129" s="9" t="s">
        <v>825</v>
      </c>
      <c r="K129" s="11" t="str">
        <f aca="false">CONCATENATE("https://d-nb.info/gnd/",J129)</f>
        <v>https://d-nb.info/gnd/4229053-3</v>
      </c>
      <c r="L129" s="11" t="n">
        <v>300123016</v>
      </c>
      <c r="M129" s="11" t="str">
        <f aca="false">CONCATENATE("https://vocab.getty.edu/aat/",L129)</f>
        <v>https://vocab.getty.edu/aat/300123016</v>
      </c>
      <c r="N129" s="11"/>
      <c r="O129" s="11"/>
      <c r="P129" s="9" t="s">
        <v>826</v>
      </c>
      <c r="Q129" s="9" t="s">
        <v>827</v>
      </c>
    </row>
    <row r="130" customFormat="false" ht="15" hidden="false" customHeight="false" outlineLevel="0" collapsed="false">
      <c r="A130" s="28" t="s">
        <v>828</v>
      </c>
      <c r="B130" s="2" t="n">
        <v>113</v>
      </c>
      <c r="C130" s="18" t="n">
        <v>111</v>
      </c>
      <c r="D130" s="9" t="s">
        <v>829</v>
      </c>
      <c r="E130" s="9" t="s">
        <v>830</v>
      </c>
      <c r="F130" s="9" t="s">
        <v>831</v>
      </c>
      <c r="G130" s="9" t="s">
        <v>832</v>
      </c>
      <c r="H130" s="9" t="s">
        <v>833</v>
      </c>
      <c r="I130" s="11" t="str">
        <f aca="false">CONCATENATE("http://www.wikidata.org/entity/",H130)</f>
        <v>http://www.wikidata.org/entity/Q4801214</v>
      </c>
      <c r="J130" s="11"/>
      <c r="K130" s="11"/>
      <c r="L130" s="11" t="n">
        <v>300192825</v>
      </c>
      <c r="M130" s="11" t="str">
        <f aca="false">CONCATENATE("https://vocab.getty.edu/aat/",L130)</f>
        <v>https://vocab.getty.edu/aat/300192825</v>
      </c>
      <c r="N130" s="11"/>
      <c r="O130" s="11"/>
      <c r="P130" s="9" t="s">
        <v>834</v>
      </c>
      <c r="Q130" s="9" t="s">
        <v>835</v>
      </c>
    </row>
    <row r="131" customFormat="false" ht="15" hidden="false" customHeight="false" outlineLevel="0" collapsed="false">
      <c r="A131" s="28" t="s">
        <v>836</v>
      </c>
      <c r="B131" s="2" t="n">
        <v>114</v>
      </c>
      <c r="C131" s="18" t="n">
        <v>111</v>
      </c>
      <c r="D131" s="9" t="s">
        <v>65</v>
      </c>
      <c r="E131" s="11"/>
      <c r="F131" s="9" t="s">
        <v>65</v>
      </c>
      <c r="G131" s="11"/>
      <c r="H131" s="9" t="s">
        <v>66</v>
      </c>
      <c r="I131" s="11" t="str">
        <f aca="false">CONCATENATE("http://www.wikidata.org/entity/",H131)</f>
        <v>http://www.wikidata.org/entity/Q20899</v>
      </c>
      <c r="J131" s="9" t="s">
        <v>67</v>
      </c>
      <c r="K131" s="11" t="str">
        <f aca="false">CONCATENATE("https://d-nb.info/gnd/",J131)</f>
        <v>https://d-nb.info/gnd/7527248-9</v>
      </c>
      <c r="L131" s="11" t="n">
        <v>300310137</v>
      </c>
      <c r="M131" s="11" t="str">
        <f aca="false">CONCATENATE("https://vocab.getty.edu/aat/",L131)</f>
        <v>https://vocab.getty.edu/aat/300310137</v>
      </c>
      <c r="N131" s="11"/>
      <c r="O131" s="11"/>
      <c r="P131" s="9" t="s">
        <v>837</v>
      </c>
      <c r="Q131" s="9" t="s">
        <v>838</v>
      </c>
    </row>
    <row r="132" customFormat="false" ht="15" hidden="false" customHeight="false" outlineLevel="0" collapsed="false">
      <c r="A132" s="28" t="s">
        <v>839</v>
      </c>
      <c r="B132" s="2" t="n">
        <v>115</v>
      </c>
      <c r="C132" s="18" t="n">
        <v>111</v>
      </c>
      <c r="D132" s="9" t="s">
        <v>71</v>
      </c>
      <c r="E132" s="11"/>
      <c r="F132" s="9" t="s">
        <v>72</v>
      </c>
      <c r="G132" s="11"/>
      <c r="H132" s="9" t="s">
        <v>73</v>
      </c>
      <c r="I132" s="11" t="str">
        <f aca="false">CONCATENATE("http://www.wikidata.org/entity/",H132)</f>
        <v>http://www.wikidata.org/entity/Q35127</v>
      </c>
      <c r="J132" s="9" t="s">
        <v>74</v>
      </c>
      <c r="K132" s="11" t="str">
        <f aca="false">CONCATENATE("https://d-nb.info/gnd/",J132)</f>
        <v>https://d-nb.info/gnd/4596172-4</v>
      </c>
      <c r="L132" s="11" t="n">
        <v>300265431</v>
      </c>
      <c r="M132" s="11" t="str">
        <f aca="false">CONCATENATE("https://vocab.getty.edu/aat/",L132)</f>
        <v>https://vocab.getty.edu/aat/300265431</v>
      </c>
      <c r="N132" s="11"/>
      <c r="O132" s="11"/>
      <c r="P132" s="9" t="s">
        <v>840</v>
      </c>
      <c r="Q132" s="9" t="s">
        <v>841</v>
      </c>
    </row>
    <row r="133" customFormat="false" ht="15" hidden="false" customHeight="false" outlineLevel="0" collapsed="false">
      <c r="A133" s="28" t="s">
        <v>842</v>
      </c>
      <c r="B133" s="2" t="n">
        <v>116</v>
      </c>
      <c r="C133" s="18" t="n">
        <v>78</v>
      </c>
      <c r="D133" s="9" t="s">
        <v>843</v>
      </c>
      <c r="E133" s="11"/>
      <c r="F133" s="9" t="s">
        <v>844</v>
      </c>
      <c r="G133" s="9" t="s">
        <v>845</v>
      </c>
      <c r="H133" s="9" t="s">
        <v>846</v>
      </c>
      <c r="I133" s="11" t="str">
        <f aca="false">CONCATENATE("http://www.wikidata.org/entity/",H133)</f>
        <v>http://www.wikidata.org/entity/Q1066582</v>
      </c>
      <c r="J133" s="11"/>
      <c r="K133" s="11"/>
      <c r="L133" s="11" t="n">
        <v>300435144</v>
      </c>
      <c r="M133" s="11" t="str">
        <f aca="false">CONCATENATE("https://vocab.getty.edu/aat/",L133)</f>
        <v>https://vocab.getty.edu/aat/300435144</v>
      </c>
      <c r="N133" s="11"/>
      <c r="O133" s="11"/>
      <c r="P133" s="9" t="s">
        <v>847</v>
      </c>
      <c r="Q133" s="9" t="s">
        <v>848</v>
      </c>
    </row>
    <row r="134" customFormat="false" ht="15" hidden="false" customHeight="false" outlineLevel="0" collapsed="false">
      <c r="A134" s="28" t="s">
        <v>849</v>
      </c>
      <c r="B134" s="2" t="n">
        <v>117</v>
      </c>
      <c r="C134" s="18" t="n">
        <v>116</v>
      </c>
      <c r="D134" s="9" t="s">
        <v>850</v>
      </c>
      <c r="E134" s="9" t="s">
        <v>633</v>
      </c>
      <c r="F134" s="9" t="s">
        <v>632</v>
      </c>
      <c r="G134" s="9" t="s">
        <v>634</v>
      </c>
      <c r="H134" s="9" t="s">
        <v>635</v>
      </c>
      <c r="I134" s="11" t="str">
        <f aca="false">CONCATENATE("http://www.wikidata.org/entity/",H134)</f>
        <v>http://www.wikidata.org/entity/Q6002306</v>
      </c>
      <c r="J134" s="9" t="s">
        <v>636</v>
      </c>
      <c r="K134" s="11" t="str">
        <f aca="false">CONCATENATE("https://d-nb.info/gnd/",J134)</f>
        <v>https://d-nb.info/gnd/4197506-6</v>
      </c>
      <c r="L134" s="11" t="n">
        <v>300266307</v>
      </c>
      <c r="M134" s="11" t="str">
        <f aca="false">CONCATENATE("https://vocab.getty.edu/aat/",L134)</f>
        <v>https://vocab.getty.edu/aat/300266307</v>
      </c>
      <c r="N134" s="11"/>
      <c r="O134" s="11"/>
      <c r="P134" s="9" t="s">
        <v>851</v>
      </c>
      <c r="Q134" s="9" t="s">
        <v>852</v>
      </c>
    </row>
    <row r="135" customFormat="false" ht="15" hidden="false" customHeight="false" outlineLevel="0" collapsed="false">
      <c r="A135" s="28" t="s">
        <v>853</v>
      </c>
      <c r="B135" s="2" t="n">
        <v>118</v>
      </c>
      <c r="C135" s="18" t="n">
        <v>116</v>
      </c>
      <c r="D135" s="9" t="s">
        <v>184</v>
      </c>
      <c r="E135" s="11"/>
      <c r="F135" s="9" t="s">
        <v>185</v>
      </c>
      <c r="G135" s="9" t="s">
        <v>854</v>
      </c>
      <c r="H135" s="9" t="s">
        <v>186</v>
      </c>
      <c r="I135" s="11" t="str">
        <f aca="false">CONCATENATE("http://www.wikidata.org/entity/",H135)</f>
        <v>http://www.wikidata.org/entity/Q615498</v>
      </c>
      <c r="J135" s="9" t="s">
        <v>187</v>
      </c>
      <c r="K135" s="11" t="str">
        <f aca="false">CONCATENATE("https://d-nb.info/gnd/",J135)</f>
        <v>https://d-nb.info/gnd/4142019-6</v>
      </c>
      <c r="L135" s="11" t="n">
        <v>300134547</v>
      </c>
      <c r="M135" s="11" t="str">
        <f aca="false">CONCATENATE("https://vocab.getty.edu/aat/",L135)</f>
        <v>https://vocab.getty.edu/aat/300134547</v>
      </c>
      <c r="N135" s="11"/>
      <c r="O135" s="11"/>
      <c r="P135" s="9" t="s">
        <v>855</v>
      </c>
      <c r="Q135" s="9" t="s">
        <v>856</v>
      </c>
    </row>
    <row r="136" customFormat="false" ht="15" hidden="false" customHeight="false" outlineLevel="0" collapsed="false">
      <c r="A136" s="28" t="s">
        <v>857</v>
      </c>
      <c r="B136" s="2" t="n">
        <v>119</v>
      </c>
      <c r="C136" s="18" t="n">
        <v>116</v>
      </c>
      <c r="D136" s="9" t="s">
        <v>858</v>
      </c>
      <c r="E136" s="9" t="s">
        <v>859</v>
      </c>
      <c r="F136" s="9" t="s">
        <v>860</v>
      </c>
      <c r="G136" s="11"/>
      <c r="H136" s="9" t="s">
        <v>861</v>
      </c>
      <c r="I136" s="11" t="str">
        <f aca="false">CONCATENATE("http://www.wikidata.org/entity/",H136)</f>
        <v>http://www.wikidata.org/entity/Q604219</v>
      </c>
      <c r="J136" s="9" t="s">
        <v>862</v>
      </c>
      <c r="K136" s="11" t="str">
        <f aca="false">CONCATENATE("https://d-nb.info/gnd/",J136)</f>
        <v>https://d-nb.info/gnd/7660057-9</v>
      </c>
      <c r="L136" s="11" t="n">
        <v>300265728</v>
      </c>
      <c r="M136" s="11" t="str">
        <f aca="false">CONCATENATE("https://vocab.getty.edu/aat/",L136)</f>
        <v>https://vocab.getty.edu/aat/300265728</v>
      </c>
      <c r="N136" s="11"/>
      <c r="O136" s="11"/>
      <c r="P136" s="9" t="s">
        <v>863</v>
      </c>
      <c r="Q136" s="9" t="s">
        <v>864</v>
      </c>
    </row>
    <row r="137" customFormat="false" ht="15" hidden="false" customHeight="false" outlineLevel="0" collapsed="false">
      <c r="A137" s="28" t="s">
        <v>865</v>
      </c>
      <c r="B137" s="2" t="n">
        <v>120</v>
      </c>
      <c r="C137" s="18" t="n">
        <v>116</v>
      </c>
      <c r="D137" s="9" t="s">
        <v>191</v>
      </c>
      <c r="E137" s="11"/>
      <c r="F137" s="9" t="s">
        <v>192</v>
      </c>
      <c r="G137" s="11"/>
      <c r="H137" s="9" t="s">
        <v>193</v>
      </c>
      <c r="I137" s="11" t="str">
        <f aca="false">CONCATENATE("http://www.wikidata.org/entity/",H137)</f>
        <v>http://www.wikidata.org/entity/Q190149</v>
      </c>
      <c r="J137" s="9" t="s">
        <v>194</v>
      </c>
      <c r="K137" s="11" t="str">
        <f aca="false">CONCATENATE("https://d-nb.info/gnd/",J137)</f>
        <v>https://d-nb.info/gnd/4045892-1</v>
      </c>
      <c r="L137" s="11" t="n">
        <v>300053580</v>
      </c>
      <c r="M137" s="11" t="str">
        <f aca="false">CONCATENATE("https://vocab.getty.edu/aat/",L137)</f>
        <v>https://vocab.getty.edu/aat/300053580</v>
      </c>
      <c r="N137" s="11"/>
      <c r="O137" s="11"/>
      <c r="P137" s="9" t="s">
        <v>866</v>
      </c>
      <c r="Q137" s="9" t="s">
        <v>867</v>
      </c>
    </row>
    <row r="138" customFormat="false" ht="15" hidden="false" customHeight="false" outlineLevel="0" collapsed="false">
      <c r="A138" s="28" t="s">
        <v>868</v>
      </c>
      <c r="B138" s="2" t="n">
        <v>121</v>
      </c>
      <c r="C138" s="18" t="n">
        <v>116</v>
      </c>
      <c r="D138" s="9" t="s">
        <v>711</v>
      </c>
      <c r="E138" s="11"/>
      <c r="F138" s="9" t="s">
        <v>712</v>
      </c>
      <c r="G138" s="11"/>
      <c r="H138" s="9" t="s">
        <v>713</v>
      </c>
      <c r="I138" s="11" t="str">
        <f aca="false">CONCATENATE("http://www.wikidata.org/entity/",H138)</f>
        <v>http://www.wikidata.org/entity/Q117021891</v>
      </c>
      <c r="J138" s="9" t="s">
        <v>714</v>
      </c>
      <c r="K138" s="11" t="str">
        <f aca="false">CONCATENATE("https://d-nb.info/gnd/",J138)</f>
        <v>https://d-nb.info/gnd/4395048-6</v>
      </c>
      <c r="L138" s="11"/>
      <c r="M138" s="11"/>
      <c r="N138" s="11"/>
      <c r="O138" s="11"/>
      <c r="P138" s="9" t="s">
        <v>869</v>
      </c>
      <c r="Q138" s="9" t="s">
        <v>870</v>
      </c>
    </row>
    <row r="139" customFormat="false" ht="15" hidden="false" customHeight="false" outlineLevel="0" collapsed="false">
      <c r="A139" s="28" t="s">
        <v>871</v>
      </c>
      <c r="B139" s="2" t="n">
        <v>122</v>
      </c>
      <c r="C139" s="18" t="n">
        <v>116</v>
      </c>
      <c r="D139" s="9" t="s">
        <v>206</v>
      </c>
      <c r="E139" s="11"/>
      <c r="F139" s="9" t="s">
        <v>207</v>
      </c>
      <c r="G139" s="11"/>
      <c r="H139" s="9" t="s">
        <v>208</v>
      </c>
      <c r="I139" s="11" t="str">
        <f aca="false">CONCATENATE("http://www.wikidata.org/entity/",H139)</f>
        <v>http://www.wikidata.org/entity/Q1665341</v>
      </c>
      <c r="J139" s="9" t="s">
        <v>209</v>
      </c>
      <c r="K139" s="11" t="str">
        <f aca="false">CONCATENATE("https://d-nb.info/gnd/",J139)</f>
        <v>https://d-nb.info/gnd/4371232-0</v>
      </c>
      <c r="L139" s="11"/>
      <c r="M139" s="11"/>
      <c r="N139" s="11"/>
      <c r="O139" s="11"/>
      <c r="P139" s="9" t="s">
        <v>872</v>
      </c>
      <c r="Q139" s="9" t="s">
        <v>873</v>
      </c>
    </row>
    <row r="140" customFormat="false" ht="15" hidden="false" customHeight="false" outlineLevel="0" collapsed="false">
      <c r="A140" s="28" t="s">
        <v>874</v>
      </c>
      <c r="B140" s="2" t="n">
        <v>123</v>
      </c>
      <c r="C140" s="18" t="n">
        <v>116</v>
      </c>
      <c r="D140" s="9" t="s">
        <v>875</v>
      </c>
      <c r="E140" s="11"/>
      <c r="F140" s="9" t="s">
        <v>876</v>
      </c>
      <c r="G140" s="11"/>
      <c r="H140" s="9" t="s">
        <v>877</v>
      </c>
      <c r="I140" s="11" t="str">
        <f aca="false">CONCATENATE("http://www.wikidata.org/entity/",H140)</f>
        <v>http://www.wikidata.org/entity/Q5158441</v>
      </c>
      <c r="J140" s="11"/>
      <c r="K140" s="11"/>
      <c r="L140" s="11"/>
      <c r="M140" s="11"/>
      <c r="N140" s="11"/>
      <c r="O140" s="11"/>
      <c r="P140" s="9" t="s">
        <v>878</v>
      </c>
      <c r="Q140" s="9" t="s">
        <v>879</v>
      </c>
    </row>
    <row r="141" customFormat="false" ht="15" hidden="false" customHeight="false" outlineLevel="0" collapsed="false">
      <c r="A141" s="28" t="s">
        <v>880</v>
      </c>
      <c r="B141" s="2" t="n">
        <v>124</v>
      </c>
      <c r="C141" s="18" t="n">
        <v>78</v>
      </c>
      <c r="D141" s="9" t="s">
        <v>881</v>
      </c>
      <c r="E141" s="11"/>
      <c r="F141" s="9" t="s">
        <v>882</v>
      </c>
      <c r="G141" s="11"/>
      <c r="H141" s="9" t="s">
        <v>883</v>
      </c>
      <c r="I141" s="11" t="str">
        <f aca="false">CONCATENATE("http://www.wikidata.org/entity/",H141)</f>
        <v>http://www.wikidata.org/entity/Q1421557</v>
      </c>
      <c r="J141" s="9" t="s">
        <v>884</v>
      </c>
      <c r="K141" s="11" t="str">
        <f aca="false">CONCATENATE("https://d-nb.info/gnd/",J141)</f>
        <v>https://d-nb.info/gnd/4120673-3</v>
      </c>
      <c r="L141" s="11" t="n">
        <v>300121461</v>
      </c>
      <c r="M141" s="11" t="str">
        <f aca="false">CONCATENATE("https://vocab.getty.edu/aat/",L141)</f>
        <v>https://vocab.getty.edu/aat/300121461</v>
      </c>
      <c r="N141" s="11"/>
      <c r="O141" s="11"/>
      <c r="P141" s="9" t="s">
        <v>885</v>
      </c>
      <c r="Q141" s="9" t="s">
        <v>886</v>
      </c>
    </row>
    <row r="142" customFormat="false" ht="15" hidden="false" customHeight="false" outlineLevel="0" collapsed="false">
      <c r="A142" s="28" t="s">
        <v>887</v>
      </c>
      <c r="B142" s="2" t="n">
        <v>125</v>
      </c>
      <c r="C142" s="18" t="n">
        <v>124</v>
      </c>
      <c r="D142" s="9" t="s">
        <v>888</v>
      </c>
      <c r="E142" s="11"/>
      <c r="F142" s="9" t="s">
        <v>889</v>
      </c>
      <c r="G142" s="9" t="s">
        <v>890</v>
      </c>
      <c r="H142" s="9" t="s">
        <v>891</v>
      </c>
      <c r="I142" s="11" t="str">
        <f aca="false">CONCATENATE("http://www.wikidata.org/entity/",H142)</f>
        <v>http://www.wikidata.org/entity/Q527628</v>
      </c>
      <c r="J142" s="9" t="s">
        <v>892</v>
      </c>
      <c r="K142" s="11" t="str">
        <f aca="false">CONCATENATE("https://d-nb.info/gnd/",J142)</f>
        <v>https://d-nb.info/gnd/4025643-1</v>
      </c>
      <c r="L142" s="11" t="n">
        <v>300053341</v>
      </c>
      <c r="M142" s="11" t="str">
        <f aca="false">CONCATENATE("https://vocab.getty.edu/aat/",L142)</f>
        <v>https://vocab.getty.edu/aat/300053341</v>
      </c>
      <c r="N142" s="11"/>
      <c r="O142" s="11"/>
      <c r="P142" s="9" t="s">
        <v>893</v>
      </c>
      <c r="Q142" s="9" t="s">
        <v>894</v>
      </c>
    </row>
    <row r="143" customFormat="false" ht="15" hidden="false" customHeight="false" outlineLevel="0" collapsed="false">
      <c r="A143" s="28" t="s">
        <v>895</v>
      </c>
      <c r="B143" s="2" t="n">
        <v>126</v>
      </c>
      <c r="C143" s="18" t="n">
        <v>124</v>
      </c>
      <c r="D143" s="9" t="s">
        <v>745</v>
      </c>
      <c r="E143" s="11"/>
      <c r="F143" s="9" t="s">
        <v>746</v>
      </c>
      <c r="G143" s="11"/>
      <c r="H143" s="9" t="s">
        <v>747</v>
      </c>
      <c r="I143" s="11" t="str">
        <f aca="false">CONCATENATE("http://www.wikidata.org/entity/",H143)</f>
        <v>http://www.wikidata.org/entity/Q1823448</v>
      </c>
      <c r="J143" s="9" t="s">
        <v>748</v>
      </c>
      <c r="K143" s="11" t="str">
        <f aca="false">CONCATENATE("https://d-nb.info/gnd/",J143)</f>
        <v>https://d-nb.info/gnd/4614008-6</v>
      </c>
      <c r="L143" s="11"/>
      <c r="M143" s="11"/>
      <c r="N143" s="11"/>
      <c r="O143" s="11"/>
      <c r="P143" s="9" t="s">
        <v>896</v>
      </c>
      <c r="Q143" s="9" t="s">
        <v>897</v>
      </c>
    </row>
    <row r="144" customFormat="false" ht="15" hidden="false" customHeight="false" outlineLevel="0" collapsed="false">
      <c r="A144" s="28" t="s">
        <v>898</v>
      </c>
      <c r="B144" s="2" t="n">
        <v>127</v>
      </c>
      <c r="C144" s="18" t="n">
        <v>78</v>
      </c>
      <c r="D144" s="9" t="s">
        <v>899</v>
      </c>
      <c r="E144" s="11"/>
      <c r="F144" s="9" t="s">
        <v>900</v>
      </c>
      <c r="G144" s="11"/>
      <c r="H144" s="9" t="s">
        <v>901</v>
      </c>
      <c r="I144" s="11" t="str">
        <f aca="false">CONCATENATE("http://www.wikidata.org/entity/",H144)</f>
        <v>http://www.wikidata.org/entity/Q11629</v>
      </c>
      <c r="J144" s="9" t="s">
        <v>902</v>
      </c>
      <c r="K144" s="11" t="str">
        <f aca="false">CONCATENATE("https://d-nb.info/gnd/",J144)</f>
        <v>https://d-nb.info/gnd/4037220-0</v>
      </c>
      <c r="L144" s="11" t="n">
        <v>300033799</v>
      </c>
      <c r="M144" s="11" t="str">
        <f aca="false">CONCATENATE("https://vocab.getty.edu/aat/",L144)</f>
        <v>https://vocab.getty.edu/aat/300033799</v>
      </c>
      <c r="N144" s="11"/>
      <c r="O144" s="11"/>
      <c r="P144" s="9" t="s">
        <v>903</v>
      </c>
      <c r="Q144" s="9" t="s">
        <v>904</v>
      </c>
    </row>
    <row r="145" customFormat="false" ht="15" hidden="false" customHeight="false" outlineLevel="0" collapsed="false">
      <c r="A145" s="28" t="s">
        <v>905</v>
      </c>
      <c r="B145" s="2" t="n">
        <v>128</v>
      </c>
      <c r="C145" s="18" t="n">
        <v>78</v>
      </c>
      <c r="D145" s="9" t="s">
        <v>906</v>
      </c>
      <c r="E145" s="11"/>
      <c r="F145" s="9" t="s">
        <v>906</v>
      </c>
      <c r="G145" s="9" t="s">
        <v>907</v>
      </c>
      <c r="H145" s="9" t="s">
        <v>908</v>
      </c>
      <c r="I145" s="11" t="str">
        <f aca="false">CONCATENATE("http://www.wikidata.org/entity/",H145)</f>
        <v>http://www.wikidata.org/entity/Q213156</v>
      </c>
      <c r="J145" s="9" t="s">
        <v>909</v>
      </c>
      <c r="K145" s="11" t="str">
        <f aca="false">CONCATENATE("https://d-nb.info/gnd/",J145)</f>
        <v>https://d-nb.info/gnd/4173750-7</v>
      </c>
      <c r="L145" s="11" t="n">
        <v>300121445</v>
      </c>
      <c r="M145" s="11" t="str">
        <f aca="false">CONCATENATE("https://vocab.getty.edu/aat/",L145)</f>
        <v>https://vocab.getty.edu/aat/300121445</v>
      </c>
      <c r="N145" s="11"/>
      <c r="O145" s="11"/>
      <c r="P145" s="9" t="s">
        <v>910</v>
      </c>
      <c r="Q145" s="9" t="s">
        <v>911</v>
      </c>
    </row>
    <row r="146" customFormat="false" ht="15" hidden="false" customHeight="false" outlineLevel="0" collapsed="false">
      <c r="A146" s="28" t="s">
        <v>912</v>
      </c>
      <c r="B146" s="2" t="n">
        <v>129</v>
      </c>
      <c r="C146" s="18" t="n">
        <v>128</v>
      </c>
      <c r="D146" s="9" t="s">
        <v>913</v>
      </c>
      <c r="E146" s="11"/>
      <c r="F146" s="9" t="s">
        <v>914</v>
      </c>
      <c r="G146" s="11"/>
      <c r="H146" s="9" t="s">
        <v>915</v>
      </c>
      <c r="I146" s="11" t="str">
        <f aca="false">CONCATENATE("http://www.wikidata.org/entity/",H146)</f>
        <v>http://www.wikidata.org/entity/Q422635</v>
      </c>
      <c r="J146" s="9" t="s">
        <v>916</v>
      </c>
      <c r="K146" s="11" t="str">
        <f aca="false">CONCATENATE("https://d-nb.info/gnd/",J146)</f>
        <v>https://d-nb.info/gnd/4141744-6</v>
      </c>
      <c r="L146" s="11" t="n">
        <v>300185409</v>
      </c>
      <c r="M146" s="11" t="str">
        <f aca="false">CONCATENATE("https://vocab.getty.edu/aat/",L146)</f>
        <v>https://vocab.getty.edu/aat/300185409</v>
      </c>
      <c r="N146" s="11"/>
      <c r="O146" s="11"/>
      <c r="P146" s="9" t="s">
        <v>917</v>
      </c>
      <c r="Q146" s="9" t="s">
        <v>918</v>
      </c>
    </row>
    <row r="147" customFormat="false" ht="15" hidden="false" customHeight="false" outlineLevel="0" collapsed="false">
      <c r="A147" s="28" t="s">
        <v>919</v>
      </c>
      <c r="B147" s="2" t="n">
        <v>130</v>
      </c>
      <c r="C147" s="18" t="n">
        <v>128</v>
      </c>
      <c r="D147" s="9" t="s">
        <v>920</v>
      </c>
      <c r="E147" s="9" t="s">
        <v>921</v>
      </c>
      <c r="F147" s="9" t="s">
        <v>920</v>
      </c>
      <c r="G147" s="11"/>
      <c r="H147" s="9" t="s">
        <v>922</v>
      </c>
      <c r="I147" s="11" t="str">
        <f aca="false">CONCATENATE("http://www.wikidata.org/entity/",H147)</f>
        <v>http://www.wikidata.org/entity/Q5376667</v>
      </c>
      <c r="J147" s="11"/>
      <c r="K147" s="11"/>
      <c r="L147" s="11"/>
      <c r="M147" s="11"/>
      <c r="N147" s="11"/>
      <c r="O147" s="11"/>
      <c r="P147" s="9" t="s">
        <v>923</v>
      </c>
      <c r="Q147" s="9" t="s">
        <v>924</v>
      </c>
    </row>
    <row r="148" customFormat="false" ht="15" hidden="false" customHeight="false" outlineLevel="0" collapsed="false">
      <c r="A148" s="28" t="s">
        <v>925</v>
      </c>
      <c r="B148" s="2" t="n">
        <v>131</v>
      </c>
      <c r="C148" s="18" t="n">
        <v>128</v>
      </c>
      <c r="D148" s="9" t="s">
        <v>926</v>
      </c>
      <c r="E148" s="11"/>
      <c r="F148" s="9" t="s">
        <v>926</v>
      </c>
      <c r="G148" s="11"/>
      <c r="H148" s="9" t="s">
        <v>927</v>
      </c>
      <c r="I148" s="11" t="str">
        <f aca="false">CONCATENATE("http://www.wikidata.org/entity/",H148)</f>
        <v>http://www.wikidata.org/entity/Q108874</v>
      </c>
      <c r="J148" s="9" t="s">
        <v>928</v>
      </c>
      <c r="K148" s="11" t="str">
        <f aca="false">CONCATENATE("https://d-nb.info/gnd/",J148)</f>
        <v>https://d-nb.info/gnd/4159095-8</v>
      </c>
      <c r="L148" s="11" t="n">
        <v>300047935</v>
      </c>
      <c r="M148" s="11" t="str">
        <f aca="false">CONCATENATE("https://vocab.getty.edu/aat/",L148)</f>
        <v>https://vocab.getty.edu/aat/300047935</v>
      </c>
      <c r="N148" s="11"/>
      <c r="O148" s="11"/>
      <c r="P148" s="9" t="s">
        <v>929</v>
      </c>
      <c r="Q148" s="9" t="s">
        <v>930</v>
      </c>
    </row>
    <row r="149" customFormat="false" ht="15" hidden="false" customHeight="false" outlineLevel="0" collapsed="false">
      <c r="A149" s="28" t="s">
        <v>931</v>
      </c>
      <c r="B149" s="2" t="n">
        <v>132</v>
      </c>
      <c r="C149" s="18" t="n">
        <v>128</v>
      </c>
      <c r="D149" s="9" t="s">
        <v>721</v>
      </c>
      <c r="E149" s="11"/>
      <c r="F149" s="9" t="s">
        <v>721</v>
      </c>
      <c r="G149" s="11"/>
      <c r="H149" s="9" t="s">
        <v>722</v>
      </c>
      <c r="I149" s="11" t="str">
        <f aca="false">CONCATENATE("http://www.wikidata.org/entity/",H149)</f>
        <v>http://www.wikidata.org/entity/Q3937287</v>
      </c>
      <c r="J149" s="11"/>
      <c r="K149" s="11"/>
      <c r="L149" s="11" t="n">
        <v>300266371</v>
      </c>
      <c r="M149" s="11" t="str">
        <f aca="false">CONCATENATE("https://vocab.getty.edu/aat/",L149)</f>
        <v>https://vocab.getty.edu/aat/300266371</v>
      </c>
      <c r="N149" s="11"/>
      <c r="O149" s="11"/>
      <c r="P149" s="9" t="s">
        <v>932</v>
      </c>
      <c r="Q149" s="9" t="s">
        <v>933</v>
      </c>
    </row>
    <row r="150" customFormat="false" ht="15" hidden="false" customHeight="false" outlineLevel="0" collapsed="false">
      <c r="A150" s="28" t="s">
        <v>934</v>
      </c>
      <c r="B150" s="2" t="n">
        <v>133</v>
      </c>
      <c r="C150" s="18" t="n">
        <v>128</v>
      </c>
      <c r="D150" s="9" t="s">
        <v>935</v>
      </c>
      <c r="E150" s="9" t="s">
        <v>936</v>
      </c>
      <c r="F150" s="9" t="s">
        <v>937</v>
      </c>
      <c r="G150" s="9" t="s">
        <v>938</v>
      </c>
      <c r="H150" s="9" t="s">
        <v>939</v>
      </c>
      <c r="I150" s="11" t="str">
        <f aca="false">CONCATENATE("http://www.wikidata.org/entity/",H150)</f>
        <v>http://www.wikidata.org/entity/Q61862009</v>
      </c>
      <c r="J150" s="9" t="s">
        <v>940</v>
      </c>
      <c r="K150" s="11" t="str">
        <f aca="false">CONCATENATE("https://d-nb.info/gnd/",J150)</f>
        <v>https://d-nb.info/gnd/7688836-8</v>
      </c>
      <c r="L150" s="11"/>
      <c r="M150" s="11"/>
      <c r="N150" s="11"/>
      <c r="O150" s="11"/>
      <c r="P150" s="9" t="s">
        <v>941</v>
      </c>
      <c r="Q150" s="9" t="s">
        <v>942</v>
      </c>
    </row>
    <row r="151" customFormat="false" ht="15" hidden="false" customHeight="false" outlineLevel="0" collapsed="false">
      <c r="A151" s="28" t="s">
        <v>943</v>
      </c>
      <c r="B151" s="2" t="n">
        <v>134</v>
      </c>
      <c r="C151" s="18" t="n">
        <v>128</v>
      </c>
      <c r="D151" s="9" t="s">
        <v>944</v>
      </c>
      <c r="E151" s="11"/>
      <c r="F151" s="9" t="s">
        <v>945</v>
      </c>
      <c r="G151" s="11"/>
      <c r="H151" s="9" t="s">
        <v>946</v>
      </c>
      <c r="I151" s="11" t="str">
        <f aca="false">CONCATENATE("http://www.wikidata.org/entity/",H151)</f>
        <v>http://www.wikidata.org/entity/Q11639</v>
      </c>
      <c r="J151" s="9" t="s">
        <v>947</v>
      </c>
      <c r="K151" s="11" t="str">
        <f aca="false">CONCATENATE("https://d-nb.info/gnd/",J151)</f>
        <v>https://d-nb.info/gnd/4059028-8</v>
      </c>
      <c r="L151" s="11" t="n">
        <v>300054144</v>
      </c>
      <c r="M151" s="11" t="str">
        <f aca="false">CONCATENATE("https://vocab.getty.edu/aat/",L151)</f>
        <v>https://vocab.getty.edu/aat/300054144</v>
      </c>
      <c r="N151" s="11"/>
      <c r="O151" s="11"/>
      <c r="P151" s="9" t="s">
        <v>948</v>
      </c>
      <c r="Q151" s="9" t="s">
        <v>949</v>
      </c>
    </row>
    <row r="152" customFormat="false" ht="15" hidden="false" customHeight="false" outlineLevel="0" collapsed="false">
      <c r="A152" s="28" t="s">
        <v>950</v>
      </c>
      <c r="B152" s="2" t="n">
        <v>135</v>
      </c>
      <c r="C152" s="18" t="n">
        <v>78</v>
      </c>
      <c r="D152" s="9" t="s">
        <v>951</v>
      </c>
      <c r="E152" s="11"/>
      <c r="F152" s="9" t="s">
        <v>952</v>
      </c>
      <c r="G152" s="9" t="s">
        <v>953</v>
      </c>
      <c r="H152" s="9" t="s">
        <v>954</v>
      </c>
      <c r="I152" s="11" t="str">
        <f aca="false">CONCATENATE("http://www.wikidata.org/entity/",H152)</f>
        <v>http://www.wikidata.org/entity/Q860861</v>
      </c>
      <c r="J152" s="9" t="s">
        <v>955</v>
      </c>
      <c r="K152" s="11" t="str">
        <f aca="false">CONCATENATE("https://d-nb.info/gnd/",J152)</f>
        <v>https://d-nb.info/gnd/4046277-8</v>
      </c>
      <c r="L152" s="11" t="n">
        <v>300047090</v>
      </c>
      <c r="M152" s="11" t="str">
        <f aca="false">CONCATENATE("https://vocab.getty.edu/aat/",L152)</f>
        <v>https://vocab.getty.edu/aat/300047090</v>
      </c>
      <c r="N152" s="11"/>
      <c r="O152" s="11"/>
      <c r="P152" s="9" t="s">
        <v>956</v>
      </c>
      <c r="Q152" s="9" t="s">
        <v>957</v>
      </c>
    </row>
    <row r="153" customFormat="false" ht="15" hidden="false" customHeight="false" outlineLevel="0" collapsed="false">
      <c r="A153" s="28" t="s">
        <v>958</v>
      </c>
      <c r="B153" s="2" t="n">
        <v>136</v>
      </c>
      <c r="C153" s="18" t="n">
        <v>135</v>
      </c>
      <c r="D153" s="9" t="s">
        <v>959</v>
      </c>
      <c r="E153" s="11"/>
      <c r="F153" s="9" t="s">
        <v>960</v>
      </c>
      <c r="G153" s="9" t="s">
        <v>961</v>
      </c>
      <c r="H153" s="9" t="s">
        <v>962</v>
      </c>
      <c r="I153" s="11" t="str">
        <f aca="false">CONCATENATE("http://www.wikidata.org/entity/",H153)</f>
        <v>http://www.wikidata.org/entity/Q1979154</v>
      </c>
      <c r="J153" s="9" t="s">
        <v>963</v>
      </c>
      <c r="K153" s="11" t="str">
        <f aca="false">CONCATENATE("https://d-nb.info/gnd/",J153)</f>
        <v>https://d-nb.info/gnd/4039798-1</v>
      </c>
      <c r="L153" s="11" t="n">
        <v>300047753</v>
      </c>
      <c r="M153" s="11" t="str">
        <f aca="false">CONCATENATE("https://vocab.getty.edu/aat/",L153)</f>
        <v>https://vocab.getty.edu/aat/300047753</v>
      </c>
      <c r="N153" s="11"/>
      <c r="O153" s="11"/>
      <c r="P153" s="9" t="s">
        <v>964</v>
      </c>
      <c r="Q153" s="9" t="s">
        <v>965</v>
      </c>
    </row>
    <row r="154" customFormat="false" ht="15" hidden="false" customHeight="false" outlineLevel="0" collapsed="false">
      <c r="A154" s="28" t="s">
        <v>966</v>
      </c>
      <c r="B154" s="2" t="n">
        <v>137</v>
      </c>
      <c r="C154" s="18" t="n">
        <v>135</v>
      </c>
      <c r="D154" s="9" t="s">
        <v>967</v>
      </c>
      <c r="E154" s="11"/>
      <c r="F154" s="9" t="s">
        <v>968</v>
      </c>
      <c r="G154" s="9" t="s">
        <v>969</v>
      </c>
      <c r="H154" s="9" t="s">
        <v>970</v>
      </c>
      <c r="I154" s="11" t="str">
        <f aca="false">CONCATENATE("http://www.wikidata.org/entity/",H154)</f>
        <v>http://www.wikidata.org/entity/Q572916</v>
      </c>
      <c r="J154" s="9" t="s">
        <v>971</v>
      </c>
      <c r="K154" s="11" t="str">
        <f aca="false">CONCATENATE("https://d-nb.info/gnd/",J154)</f>
        <v>https://d-nb.info/gnd/4177111-4</v>
      </c>
      <c r="L154" s="11" t="n">
        <v>300047210</v>
      </c>
      <c r="M154" s="11" t="str">
        <f aca="false">CONCATENATE("https://vocab.getty.edu/aat/",L154)</f>
        <v>https://vocab.getty.edu/aat/300047210</v>
      </c>
      <c r="N154" s="11"/>
      <c r="O154" s="11"/>
      <c r="P154" s="9" t="s">
        <v>972</v>
      </c>
      <c r="Q154" s="9" t="s">
        <v>973</v>
      </c>
    </row>
    <row r="155" customFormat="false" ht="15" hidden="false" customHeight="false" outlineLevel="0" collapsed="false">
      <c r="A155" s="28" t="s">
        <v>974</v>
      </c>
      <c r="B155" s="2" t="n">
        <v>138</v>
      </c>
      <c r="C155" s="18" t="n">
        <v>78</v>
      </c>
      <c r="D155" s="9" t="s">
        <v>975</v>
      </c>
      <c r="E155" s="11"/>
      <c r="F155" s="9" t="s">
        <v>976</v>
      </c>
      <c r="G155" s="11"/>
      <c r="H155" s="9" t="s">
        <v>977</v>
      </c>
      <c r="I155" s="11" t="str">
        <f aca="false">CONCATENATE("http://www.wikidata.org/entity/",H155)</f>
        <v>http://www.wikidata.org/entity/Q682010</v>
      </c>
      <c r="J155" s="9" t="s">
        <v>978</v>
      </c>
      <c r="K155" s="11" t="str">
        <f aca="false">CONCATENATE("https://d-nb.info/gnd/",J155)</f>
        <v>https://d-nb.info/gnd/4188229-5</v>
      </c>
      <c r="L155" s="11" t="n">
        <v>300102067</v>
      </c>
      <c r="M155" s="11" t="str">
        <f aca="false">CONCATENATE("https://vocab.getty.edu/aat/",L155)</f>
        <v>https://vocab.getty.edu/aat/300102067</v>
      </c>
      <c r="N155" s="11"/>
      <c r="O155" s="11"/>
      <c r="P155" s="9" t="s">
        <v>979</v>
      </c>
      <c r="Q155" s="9" t="s">
        <v>980</v>
      </c>
    </row>
    <row r="156" customFormat="false" ht="15" hidden="false" customHeight="false" outlineLevel="0" collapsed="false">
      <c r="A156" s="28" t="s">
        <v>981</v>
      </c>
      <c r="B156" s="2" t="n">
        <v>139</v>
      </c>
      <c r="C156" s="18" t="n">
        <v>138</v>
      </c>
      <c r="D156" s="9" t="s">
        <v>495</v>
      </c>
      <c r="E156" s="11"/>
      <c r="F156" s="9" t="s">
        <v>495</v>
      </c>
      <c r="G156" s="11"/>
      <c r="H156" s="9" t="s">
        <v>496</v>
      </c>
      <c r="I156" s="11" t="str">
        <f aca="false">CONCATENATE("http://www.wikidata.org/entity/",H156)</f>
        <v>http://www.wikidata.org/entity/Q117104066</v>
      </c>
      <c r="J156" s="11" t="n">
        <v>1168277388</v>
      </c>
      <c r="K156" s="11" t="str">
        <f aca="false">CONCATENATE("https://d-nb.info/gnd/",J156)</f>
        <v>https://d-nb.info/gnd/1168277388</v>
      </c>
      <c r="L156" s="11"/>
      <c r="M156" s="11"/>
      <c r="N156" s="11"/>
      <c r="O156" s="11"/>
      <c r="P156" s="9" t="s">
        <v>982</v>
      </c>
      <c r="Q156" s="9" t="s">
        <v>983</v>
      </c>
    </row>
    <row r="157" customFormat="false" ht="15" hidden="false" customHeight="false" outlineLevel="0" collapsed="false">
      <c r="A157" s="28" t="s">
        <v>984</v>
      </c>
      <c r="B157" s="2" t="n">
        <v>140</v>
      </c>
      <c r="C157" s="18" t="n">
        <v>138</v>
      </c>
      <c r="D157" s="9" t="s">
        <v>985</v>
      </c>
      <c r="E157" s="11"/>
      <c r="F157" s="9" t="s">
        <v>986</v>
      </c>
      <c r="G157" s="9" t="s">
        <v>987</v>
      </c>
      <c r="H157" s="9" t="s">
        <v>988</v>
      </c>
      <c r="I157" s="11" t="str">
        <f aca="false">CONCATENATE("http://www.wikidata.org/entity/",H157)</f>
        <v>http://www.wikidata.org/entity/Q776483</v>
      </c>
      <c r="J157" s="11"/>
      <c r="K157" s="11"/>
      <c r="L157" s="11"/>
      <c r="M157" s="11"/>
      <c r="N157" s="11"/>
      <c r="O157" s="11"/>
      <c r="P157" s="9" t="s">
        <v>989</v>
      </c>
      <c r="Q157" s="9" t="s">
        <v>990</v>
      </c>
    </row>
    <row r="158" customFormat="false" ht="15" hidden="false" customHeight="false" outlineLevel="0" collapsed="false">
      <c r="A158" s="28" t="s">
        <v>991</v>
      </c>
      <c r="B158" s="2" t="n">
        <v>141</v>
      </c>
      <c r="C158" s="18" t="n">
        <v>138</v>
      </c>
      <c r="D158" s="9" t="s">
        <v>992</v>
      </c>
      <c r="E158" s="11"/>
      <c r="F158" s="9" t="s">
        <v>993</v>
      </c>
      <c r="G158" s="11"/>
      <c r="H158" s="9" t="s">
        <v>994</v>
      </c>
      <c r="I158" s="11" t="str">
        <f aca="false">CONCATENATE("http://www.wikidata.org/entity/",H158)</f>
        <v>http://www.wikidata.org/entity/Q48773471</v>
      </c>
      <c r="J158" s="11"/>
      <c r="K158" s="11"/>
      <c r="L158" s="11"/>
      <c r="M158" s="11"/>
      <c r="N158" s="11"/>
      <c r="O158" s="11"/>
      <c r="P158" s="9" t="s">
        <v>995</v>
      </c>
      <c r="Q158" s="9" t="s">
        <v>996</v>
      </c>
    </row>
    <row r="159" customFormat="false" ht="15" hidden="false" customHeight="false" outlineLevel="0" collapsed="false">
      <c r="A159" s="28" t="s">
        <v>997</v>
      </c>
      <c r="B159" s="2" t="n">
        <v>142</v>
      </c>
      <c r="C159" s="18" t="n">
        <v>138</v>
      </c>
      <c r="D159" s="9" t="s">
        <v>752</v>
      </c>
      <c r="E159" s="11"/>
      <c r="F159" s="9" t="s">
        <v>753</v>
      </c>
      <c r="G159" s="11"/>
      <c r="H159" s="9" t="s">
        <v>754</v>
      </c>
      <c r="I159" s="11" t="str">
        <f aca="false">CONCATENATE("http://www.wikidata.org/entity/",H159)</f>
        <v>http://www.wikidata.org/entity/Q550484</v>
      </c>
      <c r="J159" s="9" t="s">
        <v>755</v>
      </c>
      <c r="K159" s="11" t="str">
        <f aca="false">CONCATENATE("https://d-nb.info/gnd/",J159)</f>
        <v>https://d-nb.info/gnd/4347940-6</v>
      </c>
      <c r="L159" s="11"/>
      <c r="M159" s="11"/>
      <c r="N159" s="11"/>
      <c r="O159" s="11"/>
      <c r="P159" s="9" t="s">
        <v>998</v>
      </c>
      <c r="Q159" s="9" t="s">
        <v>999</v>
      </c>
    </row>
    <row r="160" customFormat="false" ht="15" hidden="false" customHeight="false" outlineLevel="0" collapsed="false">
      <c r="A160" s="28" t="s">
        <v>1000</v>
      </c>
      <c r="B160" s="2" t="n">
        <v>143</v>
      </c>
      <c r="C160" s="18" t="n">
        <v>138</v>
      </c>
      <c r="D160" s="9" t="s">
        <v>1001</v>
      </c>
      <c r="E160" s="11"/>
      <c r="F160" s="9" t="s">
        <v>1002</v>
      </c>
      <c r="G160" s="9" t="s">
        <v>1003</v>
      </c>
      <c r="H160" s="9" t="s">
        <v>1004</v>
      </c>
      <c r="I160" s="11" t="str">
        <f aca="false">CONCATENATE("http://www.wikidata.org/entity/",H160)</f>
        <v>http://www.wikidata.org/entity/Q115754536</v>
      </c>
      <c r="J160" s="11"/>
      <c r="K160" s="11"/>
      <c r="L160" s="11"/>
      <c r="M160" s="11"/>
      <c r="N160" s="11"/>
      <c r="O160" s="11"/>
      <c r="P160" s="9" t="s">
        <v>1005</v>
      </c>
      <c r="Q160" s="9" t="s">
        <v>1006</v>
      </c>
    </row>
    <row r="161" customFormat="false" ht="15" hidden="false" customHeight="false" outlineLevel="0" collapsed="false">
      <c r="A161" s="28" t="s">
        <v>1007</v>
      </c>
      <c r="B161" s="2" t="n">
        <v>144</v>
      </c>
      <c r="C161" s="18" t="n">
        <v>138</v>
      </c>
      <c r="D161" s="9" t="s">
        <v>1008</v>
      </c>
      <c r="E161" s="11"/>
      <c r="F161" s="9" t="s">
        <v>1009</v>
      </c>
      <c r="G161" s="11"/>
      <c r="H161" s="9" t="s">
        <v>1010</v>
      </c>
      <c r="I161" s="11" t="str">
        <f aca="false">CONCATENATE("http://www.wikidata.org/entity/",H161)</f>
        <v>http://www.wikidata.org/entity/Q7927987</v>
      </c>
      <c r="J161" s="11"/>
      <c r="K161" s="11"/>
      <c r="L161" s="11"/>
      <c r="M161" s="11"/>
      <c r="N161" s="11"/>
      <c r="O161" s="11"/>
      <c r="P161" s="9" t="s">
        <v>1011</v>
      </c>
      <c r="Q161" s="9" t="s">
        <v>1012</v>
      </c>
    </row>
    <row r="162" customFormat="false" ht="15" hidden="false" customHeight="false" outlineLevel="0" collapsed="false">
      <c r="A162" s="28" t="s">
        <v>1013</v>
      </c>
      <c r="B162" s="2" t="n">
        <v>145</v>
      </c>
      <c r="C162" s="18" t="n">
        <v>138</v>
      </c>
      <c r="D162" s="9" t="s">
        <v>692</v>
      </c>
      <c r="E162" s="9" t="s">
        <v>693</v>
      </c>
      <c r="F162" s="9" t="s">
        <v>692</v>
      </c>
      <c r="G162" s="9" t="s">
        <v>694</v>
      </c>
      <c r="H162" s="9" t="s">
        <v>695</v>
      </c>
      <c r="I162" s="11" t="str">
        <f aca="false">CONCATENATE("http://www.wikidata.org/entity/",H162)</f>
        <v>http://www.wikidata.org/entity/Q170519</v>
      </c>
      <c r="J162" s="9" t="s">
        <v>696</v>
      </c>
      <c r="K162" s="11" t="str">
        <f aca="false">CONCATENATE("https://d-nb.info/gnd/",J162)</f>
        <v>https://d-nb.info/gnd/4399931-1</v>
      </c>
      <c r="L162" s="11" t="n">
        <v>300238469</v>
      </c>
      <c r="M162" s="11" t="str">
        <f aca="false">CONCATENATE("https://vocab.getty.edu/aat/",L162)</f>
        <v>https://vocab.getty.edu/aat/300238469</v>
      </c>
      <c r="N162" s="11"/>
      <c r="O162" s="11"/>
      <c r="P162" s="9" t="s">
        <v>1014</v>
      </c>
      <c r="Q162" s="9" t="s">
        <v>1015</v>
      </c>
    </row>
    <row r="163" customFormat="false" ht="15" hidden="false" customHeight="false" outlineLevel="0" collapsed="false">
      <c r="A163" s="28" t="s">
        <v>1016</v>
      </c>
      <c r="B163" s="2" t="n">
        <v>146</v>
      </c>
      <c r="C163" s="18" t="n">
        <v>78</v>
      </c>
      <c r="D163" s="9" t="s">
        <v>1017</v>
      </c>
      <c r="E163" s="11"/>
      <c r="F163" s="9" t="s">
        <v>1018</v>
      </c>
      <c r="G163" s="11"/>
      <c r="H163" s="9" t="s">
        <v>1019</v>
      </c>
      <c r="I163" s="11" t="str">
        <f aca="false">CONCATENATE("http://www.wikidata.org/entity/",H163)</f>
        <v>http://www.wikidata.org/entity/Q93184</v>
      </c>
      <c r="J163" s="9" t="s">
        <v>1020</v>
      </c>
      <c r="K163" s="11" t="str">
        <f aca="false">CONCATENATE("https://d-nb.info/gnd/",J163)</f>
        <v>https://d-nb.info/gnd/4127900-1</v>
      </c>
      <c r="L163" s="11" t="n">
        <v>300033973</v>
      </c>
      <c r="M163" s="11" t="str">
        <f aca="false">CONCATENATE("https://vocab.getty.edu/aat/",L163)</f>
        <v>https://vocab.getty.edu/aat/300033973</v>
      </c>
      <c r="N163" s="11"/>
      <c r="O163" s="11"/>
      <c r="P163" s="9" t="s">
        <v>1021</v>
      </c>
      <c r="Q163" s="9" t="s">
        <v>1022</v>
      </c>
    </row>
    <row r="164" customFormat="false" ht="15" hidden="false" customHeight="false" outlineLevel="0" collapsed="false">
      <c r="A164" s="28" t="s">
        <v>1023</v>
      </c>
      <c r="B164" s="2" t="n">
        <v>147</v>
      </c>
      <c r="C164" s="18" t="n">
        <v>146</v>
      </c>
      <c r="D164" s="9" t="s">
        <v>1024</v>
      </c>
      <c r="E164" s="11"/>
      <c r="F164" s="9" t="s">
        <v>1024</v>
      </c>
      <c r="G164" s="9" t="s">
        <v>1025</v>
      </c>
      <c r="H164" s="9" t="s">
        <v>1026</v>
      </c>
      <c r="I164" s="11" t="str">
        <f aca="false">CONCATENATE("http://www.wikidata.org/entity/",H164)</f>
        <v>http://www.wikidata.org/entity/Q170593</v>
      </c>
      <c r="J164" s="9" t="s">
        <v>1027</v>
      </c>
      <c r="K164" s="11" t="str">
        <f aca="false">CONCATENATE("https://d-nb.info/gnd/",J164)</f>
        <v>https://d-nb.info/gnd/4010384-5</v>
      </c>
      <c r="L164" s="11" t="n">
        <v>300033963</v>
      </c>
      <c r="M164" s="11" t="str">
        <f aca="false">CONCATENATE("https://vocab.getty.edu/aat/",L164)</f>
        <v>https://vocab.getty.edu/aat/300033963</v>
      </c>
      <c r="N164" s="11"/>
      <c r="O164" s="11"/>
      <c r="P164" s="9" t="s">
        <v>1028</v>
      </c>
      <c r="Q164" s="9" t="s">
        <v>1029</v>
      </c>
    </row>
    <row r="165" customFormat="false" ht="15" hidden="false" customHeight="false" outlineLevel="0" collapsed="false">
      <c r="A165" s="28" t="s">
        <v>1030</v>
      </c>
      <c r="B165" s="2" t="n">
        <v>148</v>
      </c>
      <c r="C165" s="18" t="n">
        <v>146</v>
      </c>
      <c r="D165" s="9" t="s">
        <v>1031</v>
      </c>
      <c r="E165" s="9" t="s">
        <v>1032</v>
      </c>
      <c r="F165" s="9" t="s">
        <v>1031</v>
      </c>
      <c r="G165" s="11"/>
      <c r="H165" s="9" t="s">
        <v>1033</v>
      </c>
      <c r="I165" s="11" t="str">
        <f aca="false">CONCATENATE("http://www.wikidata.org/entity/",H165)</f>
        <v>http://www.wikidata.org/entity/Q725377</v>
      </c>
      <c r="J165" s="9" t="s">
        <v>1034</v>
      </c>
      <c r="K165" s="11" t="str">
        <f aca="false">CONCATENATE("https://d-nb.info/gnd/",J165)</f>
        <v>https://d-nb.info/gnd/7658564-5</v>
      </c>
      <c r="L165" s="11" t="n">
        <v>300015635</v>
      </c>
      <c r="M165" s="11" t="str">
        <f aca="false">CONCATENATE("https://vocab.getty.edu/aat/",L165)</f>
        <v>https://vocab.getty.edu/aat/300015635</v>
      </c>
      <c r="N165" s="11"/>
      <c r="O165" s="11"/>
      <c r="P165" s="9" t="s">
        <v>1035</v>
      </c>
      <c r="Q165" s="9" t="s">
        <v>1036</v>
      </c>
    </row>
    <row r="166" customFormat="false" ht="15" hidden="false" customHeight="false" outlineLevel="0" collapsed="false">
      <c r="A166" s="28" t="s">
        <v>1037</v>
      </c>
      <c r="B166" s="2" t="n">
        <v>149</v>
      </c>
      <c r="C166" s="18" t="n">
        <v>146</v>
      </c>
      <c r="D166" s="9" t="s">
        <v>1038</v>
      </c>
      <c r="E166" s="11"/>
      <c r="F166" s="9" t="s">
        <v>1039</v>
      </c>
      <c r="G166" s="9" t="s">
        <v>1040</v>
      </c>
      <c r="H166" s="9" t="s">
        <v>1041</v>
      </c>
      <c r="I166" s="11" t="str">
        <f aca="false">CONCATENATE("http://www.wikidata.org/entity/",H166)</f>
        <v>http://www.wikidata.org/entity/Q1027879</v>
      </c>
      <c r="J166" s="9" t="s">
        <v>1042</v>
      </c>
      <c r="K166" s="11" t="str">
        <f aca="false">CONCATENATE("https://d-nb.info/gnd/",J166)</f>
        <v>https://d-nb.info/gnd/4021845-4</v>
      </c>
      <c r="L166" s="11" t="n">
        <v>300041273</v>
      </c>
      <c r="M166" s="11" t="str">
        <f aca="false">CONCATENATE("https://vocab.getty.edu/aat/",L166)</f>
        <v>https://vocab.getty.edu/aat/300041273</v>
      </c>
      <c r="N166" s="11"/>
      <c r="O166" s="11"/>
      <c r="P166" s="9" t="s">
        <v>1043</v>
      </c>
      <c r="Q166" s="9" t="s">
        <v>1044</v>
      </c>
    </row>
    <row r="167" customFormat="false" ht="15" hidden="false" customHeight="false" outlineLevel="0" collapsed="false">
      <c r="A167" s="28" t="s">
        <v>1045</v>
      </c>
      <c r="B167" s="2" t="n">
        <v>150</v>
      </c>
      <c r="C167" s="18"/>
      <c r="D167" s="9" t="s">
        <v>1046</v>
      </c>
      <c r="E167" s="11"/>
      <c r="F167" s="9" t="s">
        <v>1047</v>
      </c>
      <c r="G167" s="11"/>
      <c r="H167" s="9" t="s">
        <v>1048</v>
      </c>
      <c r="I167" s="11" t="str">
        <f aca="false">CONCATENATE("http://www.wikidata.org/entity/",H167)</f>
        <v>http://www.wikidata.org/entity/Q8242</v>
      </c>
      <c r="J167" s="9" t="s">
        <v>1049</v>
      </c>
      <c r="K167" s="11" t="str">
        <f aca="false">CONCATENATE("https://d-nb.info/gnd/",J167)</f>
        <v>https://d-nb.info/gnd/4035964-5</v>
      </c>
      <c r="L167" s="11" t="n">
        <v>300417585</v>
      </c>
      <c r="M167" s="11" t="str">
        <f aca="false">CONCATENATE("https://vocab.getty.edu/aat/",L167)</f>
        <v>https://vocab.getty.edu/aat/300417585</v>
      </c>
      <c r="N167" s="11"/>
      <c r="O167" s="11"/>
      <c r="P167" s="9" t="s">
        <v>1047</v>
      </c>
      <c r="Q167" s="9" t="s">
        <v>1046</v>
      </c>
    </row>
    <row r="168" customFormat="false" ht="15" hidden="false" customHeight="false" outlineLevel="0" collapsed="false">
      <c r="A168" s="28" t="s">
        <v>1050</v>
      </c>
      <c r="B168" s="2" t="n">
        <v>151</v>
      </c>
      <c r="C168" s="18" t="n">
        <v>150</v>
      </c>
      <c r="D168" s="9" t="s">
        <v>1051</v>
      </c>
      <c r="E168" s="11"/>
      <c r="F168" s="9" t="s">
        <v>1051</v>
      </c>
      <c r="G168" s="11"/>
      <c r="H168" s="9" t="s">
        <v>1052</v>
      </c>
      <c r="I168" s="11" t="str">
        <f aca="false">CONCATENATE("http://www.wikidata.org/entity/",H168)</f>
        <v>http://www.wikidata.org/entity/Q25372</v>
      </c>
      <c r="J168" s="9" t="s">
        <v>1053</v>
      </c>
      <c r="K168" s="11" t="str">
        <f aca="false">CONCATENATE("https://d-nb.info/gnd/",J168)</f>
        <v>https://d-nb.info/gnd/4012899-4</v>
      </c>
      <c r="L168" s="11" t="n">
        <v>300417554</v>
      </c>
      <c r="M168" s="11" t="str">
        <f aca="false">CONCATENATE("https://vocab.getty.edu/aat/",L168)</f>
        <v>https://vocab.getty.edu/aat/300417554</v>
      </c>
      <c r="N168" s="11"/>
      <c r="O168" s="11"/>
      <c r="P168" s="9" t="s">
        <v>1054</v>
      </c>
      <c r="Q168" s="9" t="s">
        <v>1055</v>
      </c>
    </row>
    <row r="169" customFormat="false" ht="15" hidden="false" customHeight="false" outlineLevel="0" collapsed="false">
      <c r="A169" s="28" t="s">
        <v>1056</v>
      </c>
      <c r="B169" s="2" t="n">
        <v>152</v>
      </c>
      <c r="C169" s="18" t="n">
        <v>151</v>
      </c>
      <c r="D169" s="9" t="s">
        <v>1057</v>
      </c>
      <c r="E169" s="11"/>
      <c r="F169" s="9" t="s">
        <v>1058</v>
      </c>
      <c r="G169" s="9" t="s">
        <v>1059</v>
      </c>
      <c r="H169" s="9" t="s">
        <v>1060</v>
      </c>
      <c r="I169" s="11" t="str">
        <f aca="false">CONCATENATE("http://www.wikidata.org/entity/",H169)</f>
        <v>http://www.wikidata.org/entity/Q1194583</v>
      </c>
      <c r="J169" s="9" t="s">
        <v>1061</v>
      </c>
      <c r="K169" s="11" t="str">
        <f aca="false">CONCATENATE("https://d-nb.info/gnd/",J169)</f>
        <v>https://d-nb.info/gnd/4132520-5</v>
      </c>
      <c r="L169" s="11"/>
      <c r="M169" s="11"/>
      <c r="N169" s="11"/>
      <c r="O169" s="11"/>
      <c r="P169" s="9" t="s">
        <v>1062</v>
      </c>
      <c r="Q169" s="9" t="s">
        <v>1063</v>
      </c>
    </row>
    <row r="170" customFormat="false" ht="15" hidden="false" customHeight="false" outlineLevel="0" collapsed="false">
      <c r="A170" s="28" t="s">
        <v>1064</v>
      </c>
      <c r="B170" s="2" t="n">
        <v>153</v>
      </c>
      <c r="C170" s="18" t="n">
        <v>151</v>
      </c>
      <c r="D170" s="9" t="s">
        <v>1065</v>
      </c>
      <c r="E170" s="11"/>
      <c r="F170" s="9" t="s">
        <v>1066</v>
      </c>
      <c r="G170" s="11"/>
      <c r="H170" s="9" t="s">
        <v>1067</v>
      </c>
      <c r="I170" s="11" t="str">
        <f aca="false">CONCATENATE("http://www.wikidata.org/entity/",H170)</f>
        <v>http://www.wikidata.org/entity/Q5774663</v>
      </c>
      <c r="J170" s="9" t="s">
        <v>1068</v>
      </c>
      <c r="K170" s="11" t="str">
        <f aca="false">CONCATENATE("https://d-nb.info/gnd/",J170)</f>
        <v>https://d-nb.info/gnd/4025133-0</v>
      </c>
      <c r="L170" s="11"/>
      <c r="M170" s="11"/>
      <c r="N170" s="11"/>
      <c r="O170" s="11"/>
      <c r="P170" s="9" t="s">
        <v>1069</v>
      </c>
      <c r="Q170" s="9" t="s">
        <v>1070</v>
      </c>
    </row>
    <row r="171" customFormat="false" ht="15" hidden="false" customHeight="false" outlineLevel="0" collapsed="false">
      <c r="A171" s="28" t="s">
        <v>1071</v>
      </c>
      <c r="B171" s="2" t="n">
        <v>154</v>
      </c>
      <c r="C171" s="18" t="n">
        <v>151</v>
      </c>
      <c r="D171" s="9" t="s">
        <v>1072</v>
      </c>
      <c r="E171" s="11"/>
      <c r="F171" s="9" t="s">
        <v>1073</v>
      </c>
      <c r="G171" s="11"/>
      <c r="H171" s="9" t="s">
        <v>1074</v>
      </c>
      <c r="I171" s="11" t="str">
        <f aca="false">CONCATENATE("http://www.wikidata.org/entity/",H171)</f>
        <v>http://www.wikidata.org/entity/Q40831</v>
      </c>
      <c r="J171" s="9" t="s">
        <v>1075</v>
      </c>
      <c r="K171" s="11" t="str">
        <f aca="false">CONCATENATE("https://d-nb.info/gnd/",J171)</f>
        <v>https://d-nb.info/gnd/4031952-0</v>
      </c>
      <c r="L171" s="11" t="n">
        <v>300055911</v>
      </c>
      <c r="M171" s="11" t="str">
        <f aca="false">CONCATENATE("https://vocab.getty.edu/aat/",L171)</f>
        <v>https://vocab.getty.edu/aat/300055911</v>
      </c>
      <c r="N171" s="11"/>
      <c r="O171" s="11"/>
      <c r="P171" s="9" t="s">
        <v>1076</v>
      </c>
      <c r="Q171" s="9" t="s">
        <v>1077</v>
      </c>
    </row>
    <row r="172" customFormat="false" ht="15" hidden="false" customHeight="false" outlineLevel="0" collapsed="false">
      <c r="A172" s="28" t="s">
        <v>1078</v>
      </c>
      <c r="B172" s="2" t="n">
        <v>155</v>
      </c>
      <c r="C172" s="18" t="n">
        <v>151</v>
      </c>
      <c r="D172" s="9" t="s">
        <v>1079</v>
      </c>
      <c r="E172" s="11"/>
      <c r="F172" s="9" t="s">
        <v>1079</v>
      </c>
      <c r="G172" s="11"/>
      <c r="H172" s="9" t="s">
        <v>1080</v>
      </c>
      <c r="I172" s="11" t="str">
        <f aca="false">CONCATENATE("http://www.wikidata.org/entity/",H172)</f>
        <v>http://www.wikidata.org/entity/Q131084</v>
      </c>
      <c r="J172" s="9" t="s">
        <v>1081</v>
      </c>
      <c r="K172" s="11" t="str">
        <f aca="false">CONCATENATE("https://d-nb.info/gnd/",J172)</f>
        <v>https://d-nb.info/gnd/4035588-3</v>
      </c>
      <c r="L172" s="11" t="n">
        <v>300026424</v>
      </c>
      <c r="M172" s="11" t="str">
        <f aca="false">CONCATENATE("https://vocab.getty.edu/aat/",L172)</f>
        <v>https://vocab.getty.edu/aat/300026424</v>
      </c>
      <c r="N172" s="11"/>
      <c r="O172" s="11"/>
      <c r="P172" s="9" t="s">
        <v>1082</v>
      </c>
      <c r="Q172" s="9" t="s">
        <v>1083</v>
      </c>
    </row>
    <row r="173" customFormat="false" ht="15" hidden="false" customHeight="false" outlineLevel="0" collapsed="false">
      <c r="A173" s="28" t="s">
        <v>1084</v>
      </c>
      <c r="B173" s="2" t="n">
        <v>156</v>
      </c>
      <c r="C173" s="18" t="n">
        <v>151</v>
      </c>
      <c r="D173" s="9" t="s">
        <v>1085</v>
      </c>
      <c r="E173" s="11"/>
      <c r="F173" s="9" t="s">
        <v>1085</v>
      </c>
      <c r="G173" s="9" t="s">
        <v>1086</v>
      </c>
      <c r="H173" s="9" t="s">
        <v>1087</v>
      </c>
      <c r="I173" s="11" t="str">
        <f aca="false">CONCATENATE("http://www.wikidata.org/entity/",H173)</f>
        <v>http://www.wikidata.org/entity/Q221290</v>
      </c>
      <c r="J173" s="9" t="s">
        <v>1088</v>
      </c>
      <c r="K173" s="11" t="str">
        <f aca="false">CONCATENATE("https://d-nb.info/gnd/",J173)</f>
        <v>https://d-nb.info/gnd/4170462-9</v>
      </c>
      <c r="L173" s="11"/>
      <c r="M173" s="11"/>
      <c r="N173" s="11"/>
      <c r="O173" s="11"/>
      <c r="P173" s="9" t="s">
        <v>1089</v>
      </c>
      <c r="Q173" s="9" t="s">
        <v>1090</v>
      </c>
    </row>
    <row r="174" customFormat="false" ht="15" hidden="false" customHeight="false" outlineLevel="0" collapsed="false">
      <c r="A174" s="28" t="s">
        <v>1091</v>
      </c>
      <c r="B174" s="2" t="n">
        <v>157</v>
      </c>
      <c r="C174" s="18" t="n">
        <v>151</v>
      </c>
      <c r="D174" s="9" t="s">
        <v>1092</v>
      </c>
      <c r="E174" s="11"/>
      <c r="F174" s="9" t="s">
        <v>1093</v>
      </c>
      <c r="G174" s="11"/>
      <c r="H174" s="9" t="s">
        <v>1094</v>
      </c>
      <c r="I174" s="11" t="str">
        <f aca="false">CONCATENATE("http://www.wikidata.org/entity/",H174)</f>
        <v>http://www.wikidata.org/entity/Q929047</v>
      </c>
      <c r="J174" s="9" t="s">
        <v>1095</v>
      </c>
      <c r="K174" s="11" t="str">
        <f aca="false">CONCATENATE("https://d-nb.info/gnd/",J174)</f>
        <v>https://d-nb.info/gnd/4170539-7</v>
      </c>
      <c r="L174" s="11" t="n">
        <v>300202564</v>
      </c>
      <c r="M174" s="11" t="str">
        <f aca="false">CONCATENATE("https://vocab.getty.edu/aat/",L174)</f>
        <v>https://vocab.getty.edu/aat/300202564</v>
      </c>
      <c r="N174" s="11"/>
      <c r="O174" s="11"/>
      <c r="P174" s="9" t="s">
        <v>1096</v>
      </c>
      <c r="Q174" s="9" t="s">
        <v>1097</v>
      </c>
    </row>
    <row r="175" customFormat="false" ht="15" hidden="false" customHeight="false" outlineLevel="0" collapsed="false">
      <c r="A175" s="28" t="s">
        <v>1098</v>
      </c>
      <c r="B175" s="2" t="n">
        <v>158</v>
      </c>
      <c r="C175" s="18" t="n">
        <v>151</v>
      </c>
      <c r="D175" s="9" t="s">
        <v>1099</v>
      </c>
      <c r="E175" s="11"/>
      <c r="F175" s="9" t="s">
        <v>1100</v>
      </c>
      <c r="G175" s="9" t="s">
        <v>1101</v>
      </c>
      <c r="H175" s="9" t="s">
        <v>1102</v>
      </c>
      <c r="I175" s="11" t="str">
        <f aca="false">CONCATENATE("http://www.wikidata.org/entity/",H175)</f>
        <v>http://www.wikidata.org/entity/Q222926</v>
      </c>
      <c r="J175" s="9" t="s">
        <v>1103</v>
      </c>
      <c r="K175" s="11" t="str">
        <f aca="false">CONCATENATE("https://d-nb.info/gnd/",J175)</f>
        <v>https://d-nb.info/gnd/4268889-9</v>
      </c>
      <c r="L175" s="11"/>
      <c r="M175" s="11"/>
      <c r="N175" s="11"/>
      <c r="O175" s="11"/>
      <c r="P175" s="9" t="s">
        <v>1104</v>
      </c>
      <c r="Q175" s="9" t="s">
        <v>1105</v>
      </c>
    </row>
    <row r="176" customFormat="false" ht="15" hidden="false" customHeight="false" outlineLevel="0" collapsed="false">
      <c r="A176" s="28" t="s">
        <v>1106</v>
      </c>
      <c r="B176" s="2" t="n">
        <v>159</v>
      </c>
      <c r="C176" s="18" t="n">
        <v>151</v>
      </c>
      <c r="D176" s="9" t="s">
        <v>1107</v>
      </c>
      <c r="E176" s="9" t="s">
        <v>1108</v>
      </c>
      <c r="F176" s="9" t="s">
        <v>1109</v>
      </c>
      <c r="G176" s="11"/>
      <c r="H176" s="9" t="s">
        <v>1110</v>
      </c>
      <c r="I176" s="11" t="str">
        <f aca="false">CONCATENATE("http://www.wikidata.org/entity/",H176)</f>
        <v>http://www.wikidata.org/entity/Q859369</v>
      </c>
      <c r="J176" s="9" t="s">
        <v>1111</v>
      </c>
      <c r="K176" s="11" t="str">
        <f aca="false">CONCATENATE("https://d-nb.info/gnd/",J176)</f>
        <v>https://d-nb.info/gnd/4185839-6</v>
      </c>
      <c r="L176" s="11"/>
      <c r="M176" s="11"/>
      <c r="N176" s="11"/>
      <c r="O176" s="11"/>
      <c r="P176" s="9" t="s">
        <v>1112</v>
      </c>
      <c r="Q176" s="9" t="s">
        <v>1113</v>
      </c>
    </row>
    <row r="177" customFormat="false" ht="15" hidden="false" customHeight="false" outlineLevel="0" collapsed="false">
      <c r="A177" s="28" t="s">
        <v>1114</v>
      </c>
      <c r="B177" s="2" t="n">
        <v>160</v>
      </c>
      <c r="C177" s="18" t="n">
        <v>151</v>
      </c>
      <c r="D177" s="9" t="s">
        <v>1115</v>
      </c>
      <c r="E177" s="11"/>
      <c r="F177" s="9" t="s">
        <v>1116</v>
      </c>
      <c r="G177" s="11"/>
      <c r="H177" s="9" t="s">
        <v>1117</v>
      </c>
      <c r="I177" s="11" t="str">
        <f aca="false">CONCATENATE("http://www.wikidata.org/entity/",H177)</f>
        <v>http://www.wikidata.org/entity/Q80930</v>
      </c>
      <c r="J177" s="9" t="s">
        <v>1118</v>
      </c>
      <c r="K177" s="11" t="str">
        <f aca="false">CONCATENATE("https://d-nb.info/gnd/",J177)</f>
        <v>https://d-nb.info/gnd/4060591-7</v>
      </c>
      <c r="L177" s="11" t="n">
        <v>300055916</v>
      </c>
      <c r="M177" s="11" t="str">
        <f aca="false">CONCATENATE("https://vocab.getty.edu/aat/",L177)</f>
        <v>https://vocab.getty.edu/aat/300055916</v>
      </c>
      <c r="N177" s="11"/>
      <c r="O177" s="11"/>
      <c r="P177" s="9" t="s">
        <v>1119</v>
      </c>
      <c r="Q177" s="9" t="s">
        <v>1120</v>
      </c>
    </row>
    <row r="178" customFormat="false" ht="15" hidden="false" customHeight="false" outlineLevel="0" collapsed="false">
      <c r="A178" s="28" t="s">
        <v>1121</v>
      </c>
      <c r="B178" s="2" t="n">
        <v>161</v>
      </c>
      <c r="C178" s="18" t="n">
        <v>151</v>
      </c>
      <c r="D178" s="9" t="s">
        <v>1122</v>
      </c>
      <c r="E178" s="11"/>
      <c r="F178" s="9" t="s">
        <v>1123</v>
      </c>
      <c r="G178" s="11"/>
      <c r="H178" s="9" t="s">
        <v>1124</v>
      </c>
      <c r="I178" s="11" t="str">
        <f aca="false">CONCATENATE("http://www.wikidata.org/entity/",H178)</f>
        <v>http://www.wikidata.org/entity/Q1370860</v>
      </c>
      <c r="J178" s="9" t="s">
        <v>1125</v>
      </c>
      <c r="K178" s="11" t="str">
        <f aca="false">CONCATENATE("https://d-nb.info/gnd/",J178)</f>
        <v>https://d-nb.info/gnd/4187986-7</v>
      </c>
      <c r="L178" s="11" t="n">
        <v>300417798</v>
      </c>
      <c r="M178" s="11" t="str">
        <f aca="false">CONCATENATE("https://vocab.getty.edu/aat/",L178)</f>
        <v>https://vocab.getty.edu/aat/300417798</v>
      </c>
      <c r="N178" s="11"/>
      <c r="O178" s="11"/>
      <c r="P178" s="9" t="s">
        <v>1126</v>
      </c>
      <c r="Q178" s="9" t="s">
        <v>1127</v>
      </c>
    </row>
    <row r="179" customFormat="false" ht="15" hidden="false" customHeight="false" outlineLevel="0" collapsed="false">
      <c r="A179" s="28" t="s">
        <v>1128</v>
      </c>
      <c r="B179" s="2" t="n">
        <v>162</v>
      </c>
      <c r="C179" s="18" t="n">
        <v>150</v>
      </c>
      <c r="D179" s="9" t="s">
        <v>465</v>
      </c>
      <c r="E179" s="9" t="s">
        <v>466</v>
      </c>
      <c r="F179" s="9" t="s">
        <v>467</v>
      </c>
      <c r="G179" s="11"/>
      <c r="H179" s="9" t="s">
        <v>468</v>
      </c>
      <c r="I179" s="11" t="str">
        <f aca="false">CONCATENATE("http://www.wikidata.org/entity/",H179)</f>
        <v>http://www.wikidata.org/entity/Q103076</v>
      </c>
      <c r="J179" s="9" t="s">
        <v>469</v>
      </c>
      <c r="K179" s="11" t="str">
        <f aca="false">CONCATENATE("https://d-nb.info/gnd/",J179)</f>
        <v>https://d-nb.info/gnd/4127976-1</v>
      </c>
      <c r="L179" s="11" t="n">
        <v>300026491</v>
      </c>
      <c r="M179" s="11" t="str">
        <f aca="false">CONCATENATE("https://vocab.getty.edu/aat/",L179)</f>
        <v>https://vocab.getty.edu/aat/300026491</v>
      </c>
      <c r="N179" s="11"/>
      <c r="O179" s="11"/>
      <c r="P179" s="9" t="s">
        <v>1129</v>
      </c>
      <c r="Q179" s="9" t="s">
        <v>1130</v>
      </c>
    </row>
    <row r="180" customFormat="false" ht="15" hidden="false" customHeight="false" outlineLevel="0" collapsed="false">
      <c r="A180" s="28" t="s">
        <v>1131</v>
      </c>
      <c r="B180" s="2" t="n">
        <v>163</v>
      </c>
      <c r="C180" s="18" t="n">
        <v>150</v>
      </c>
      <c r="D180" s="9" t="s">
        <v>1132</v>
      </c>
      <c r="E180" s="11"/>
      <c r="F180" s="9" t="s">
        <v>1133</v>
      </c>
      <c r="G180" s="9" t="s">
        <v>1134</v>
      </c>
      <c r="H180" s="9" t="s">
        <v>1135</v>
      </c>
      <c r="I180" s="11" t="str">
        <f aca="false">CONCATENATE("http://www.wikidata.org/entity/",H180)</f>
        <v>http://www.wikidata.org/entity/Q1097273</v>
      </c>
      <c r="J180" s="9" t="s">
        <v>1136</v>
      </c>
      <c r="K180" s="11" t="str">
        <f aca="false">CONCATENATE("https://d-nb.info/gnd/",J180)</f>
        <v>https://d-nb.info/gnd/4015025-2</v>
      </c>
      <c r="L180" s="11" t="n">
        <v>300404209</v>
      </c>
      <c r="M180" s="11" t="str">
        <f aca="false">CONCATENATE("https://vocab.getty.edu/aat/",L180)</f>
        <v>https://vocab.getty.edu/aat/300404209</v>
      </c>
      <c r="N180" s="11"/>
      <c r="O180" s="11"/>
      <c r="P180" s="9" t="s">
        <v>1137</v>
      </c>
      <c r="Q180" s="9" t="s">
        <v>1138</v>
      </c>
    </row>
    <row r="181" customFormat="false" ht="15" hidden="false" customHeight="false" outlineLevel="0" collapsed="false">
      <c r="A181" s="28" t="s">
        <v>1139</v>
      </c>
      <c r="B181" s="2" t="n">
        <v>164</v>
      </c>
      <c r="C181" s="18" t="n">
        <v>163</v>
      </c>
      <c r="D181" s="9" t="s">
        <v>1140</v>
      </c>
      <c r="E181" s="11"/>
      <c r="F181" s="9" t="s">
        <v>1141</v>
      </c>
      <c r="G181" s="11"/>
      <c r="H181" s="9" t="s">
        <v>1142</v>
      </c>
      <c r="I181" s="11" t="str">
        <f aca="false">CONCATENATE("http://www.wikidata.org/entity/",H181)</f>
        <v>http://www.wikidata.org/entity/Q27036528</v>
      </c>
      <c r="J181" s="9" t="s">
        <v>1143</v>
      </c>
      <c r="K181" s="11" t="str">
        <f aca="false">CONCATENATE("https://d-nb.info/gnd/",J181)</f>
        <v>https://d-nb.info/gnd/4015464-6</v>
      </c>
      <c r="L181" s="11" t="n">
        <v>300185346</v>
      </c>
      <c r="M181" s="11" t="str">
        <f aca="false">CONCATENATE("https://vocab.getty.edu/aat/",L181)</f>
        <v>https://vocab.getty.edu/aat/300185346</v>
      </c>
      <c r="N181" s="11"/>
      <c r="O181" s="11"/>
      <c r="P181" s="9" t="s">
        <v>1144</v>
      </c>
      <c r="Q181" s="9" t="s">
        <v>1145</v>
      </c>
    </row>
    <row r="182" customFormat="false" ht="15" hidden="false" customHeight="false" outlineLevel="0" collapsed="false">
      <c r="A182" s="28" t="s">
        <v>1146</v>
      </c>
      <c r="B182" s="2" t="n">
        <v>165</v>
      </c>
      <c r="C182" s="18" t="n">
        <v>163</v>
      </c>
      <c r="D182" s="9" t="s">
        <v>1147</v>
      </c>
      <c r="E182" s="11"/>
      <c r="F182" s="9" t="s">
        <v>1148</v>
      </c>
      <c r="G182" s="11"/>
      <c r="H182" s="9" t="s">
        <v>1149</v>
      </c>
      <c r="I182" s="11" t="str">
        <f aca="false">CONCATENATE("http://www.wikidata.org/entity/",H182)</f>
        <v>http://www.wikidata.org/entity/Q49084</v>
      </c>
      <c r="J182" s="9" t="s">
        <v>1150</v>
      </c>
      <c r="K182" s="11" t="str">
        <f aca="false">CONCATENATE("https://d-nb.info/gnd/",J182)</f>
        <v>https://d-nb.info/gnd/4033842-3</v>
      </c>
      <c r="L182" s="11" t="n">
        <v>300202607</v>
      </c>
      <c r="M182" s="11" t="str">
        <f aca="false">CONCATENATE("https://vocab.getty.edu/aat/",L182)</f>
        <v>https://vocab.getty.edu/aat/300202607</v>
      </c>
      <c r="N182" s="11"/>
      <c r="O182" s="11"/>
      <c r="P182" s="9" t="s">
        <v>1151</v>
      </c>
      <c r="Q182" s="9" t="s">
        <v>1152</v>
      </c>
    </row>
    <row r="183" customFormat="false" ht="15" hidden="false" customHeight="false" outlineLevel="0" collapsed="false">
      <c r="A183" s="28" t="s">
        <v>1153</v>
      </c>
      <c r="B183" s="2" t="n">
        <v>166</v>
      </c>
      <c r="C183" s="18" t="n">
        <v>163</v>
      </c>
      <c r="D183" s="9" t="s">
        <v>1154</v>
      </c>
      <c r="E183" s="11"/>
      <c r="F183" s="9" t="s">
        <v>1155</v>
      </c>
      <c r="G183" s="11"/>
      <c r="H183" s="9" t="s">
        <v>1156</v>
      </c>
      <c r="I183" s="11" t="str">
        <f aca="false">CONCATENATE("http://www.wikidata.org/entity/",H183)</f>
        <v>http://www.wikidata.org/entity/Q699</v>
      </c>
      <c r="J183" s="9" t="s">
        <v>1157</v>
      </c>
      <c r="K183" s="11" t="str">
        <f aca="false">CONCATENATE("https://d-nb.info/gnd/",J183)</f>
        <v>https://d-nb.info/gnd/4036910-9</v>
      </c>
      <c r="L183" s="11" t="n">
        <v>300185684</v>
      </c>
      <c r="M183" s="11" t="str">
        <f aca="false">CONCATENATE("https://vocab.getty.edu/aat/",L183)</f>
        <v>https://vocab.getty.edu/aat/300185684</v>
      </c>
      <c r="N183" s="11"/>
      <c r="O183" s="11"/>
      <c r="P183" s="9" t="s">
        <v>1158</v>
      </c>
      <c r="Q183" s="9" t="s">
        <v>1159</v>
      </c>
    </row>
    <row r="184" customFormat="false" ht="15" hidden="false" customHeight="false" outlineLevel="0" collapsed="false">
      <c r="A184" s="28" t="s">
        <v>1160</v>
      </c>
      <c r="B184" s="2" t="n">
        <v>167</v>
      </c>
      <c r="C184" s="18" t="n">
        <v>163</v>
      </c>
      <c r="D184" s="9" t="s">
        <v>1161</v>
      </c>
      <c r="E184" s="11"/>
      <c r="F184" s="9" t="s">
        <v>1162</v>
      </c>
      <c r="G184" s="11"/>
      <c r="H184" s="9" t="s">
        <v>1163</v>
      </c>
      <c r="I184" s="11" t="str">
        <f aca="false">CONCATENATE("http://www.wikidata.org/entity/",H184)</f>
        <v>http://www.wikidata.org/entity/Q149537</v>
      </c>
      <c r="J184" s="9" t="s">
        <v>1164</v>
      </c>
      <c r="K184" s="11" t="str">
        <f aca="false">CONCATENATE("https://d-nb.info/gnd/",J184)</f>
        <v>https://d-nb.info/gnd/4042706-7</v>
      </c>
      <c r="L184" s="11" t="n">
        <v>300202569</v>
      </c>
      <c r="M184" s="11" t="str">
        <f aca="false">CONCATENATE("https://vocab.getty.edu/aat/",L184)</f>
        <v>https://vocab.getty.edu/aat/300202569</v>
      </c>
      <c r="N184" s="11"/>
      <c r="O184" s="11"/>
      <c r="P184" s="9" t="s">
        <v>1165</v>
      </c>
      <c r="Q184" s="9" t="s">
        <v>1166</v>
      </c>
    </row>
    <row r="185" customFormat="false" ht="15" hidden="false" customHeight="false" outlineLevel="0" collapsed="false">
      <c r="A185" s="28" t="s">
        <v>1167</v>
      </c>
      <c r="B185" s="2" t="n">
        <v>168</v>
      </c>
      <c r="C185" s="18" t="n">
        <v>163</v>
      </c>
      <c r="D185" s="9" t="s">
        <v>1168</v>
      </c>
      <c r="E185" s="11"/>
      <c r="F185" s="9" t="s">
        <v>1169</v>
      </c>
      <c r="G185" s="11"/>
      <c r="H185" s="9" t="s">
        <v>1170</v>
      </c>
      <c r="I185" s="11" t="str">
        <f aca="false">CONCATENATE("http://www.wikidata.org/entity/",H185)</f>
        <v>http://www.wikidata.org/entity/Q208555</v>
      </c>
      <c r="J185" s="9" t="s">
        <v>1171</v>
      </c>
      <c r="K185" s="11" t="str">
        <f aca="false">CONCATENATE("https://d-nb.info/gnd/",J185)</f>
        <v>https://d-nb.info/gnd/4075855-2</v>
      </c>
      <c r="L185" s="11" t="n">
        <v>300185342</v>
      </c>
      <c r="M185" s="11" t="str">
        <f aca="false">CONCATENATE("https://vocab.getty.edu/aat/",L185)</f>
        <v>https://vocab.getty.edu/aat/300185342</v>
      </c>
      <c r="N185" s="11"/>
      <c r="O185" s="11"/>
      <c r="P185" s="9" t="s">
        <v>1172</v>
      </c>
      <c r="Q185" s="9" t="s">
        <v>1173</v>
      </c>
    </row>
    <row r="186" customFormat="false" ht="15" hidden="false" customHeight="false" outlineLevel="0" collapsed="false">
      <c r="A186" s="28" t="s">
        <v>1174</v>
      </c>
      <c r="B186" s="2" t="n">
        <v>169</v>
      </c>
      <c r="C186" s="18" t="n">
        <v>163</v>
      </c>
      <c r="D186" s="9" t="s">
        <v>535</v>
      </c>
      <c r="E186" s="11"/>
      <c r="F186" s="9" t="s">
        <v>535</v>
      </c>
      <c r="G186" s="11"/>
      <c r="H186" s="9" t="s">
        <v>536</v>
      </c>
      <c r="I186" s="11" t="str">
        <f aca="false">CONCATENATE("http://www.wikidata.org/entity/",H186)</f>
        <v>http://www.wikidata.org/entity/Q124922</v>
      </c>
      <c r="J186" s="9" t="s">
        <v>537</v>
      </c>
      <c r="K186" s="11" t="str">
        <f aca="false">CONCATENATE("https://d-nb.info/gnd/",J186)</f>
        <v>https://d-nb.info/gnd/4049528-0</v>
      </c>
      <c r="L186" s="11"/>
      <c r="M186" s="11"/>
      <c r="N186" s="11"/>
      <c r="O186" s="11"/>
      <c r="P186" s="9" t="s">
        <v>1175</v>
      </c>
      <c r="Q186" s="9" t="s">
        <v>1176</v>
      </c>
    </row>
    <row r="187" customFormat="false" ht="15" hidden="false" customHeight="false" outlineLevel="0" collapsed="false">
      <c r="A187" s="28" t="s">
        <v>1177</v>
      </c>
      <c r="B187" s="2" t="n">
        <v>170</v>
      </c>
      <c r="C187" s="18" t="n">
        <v>163</v>
      </c>
      <c r="D187" s="9" t="s">
        <v>1178</v>
      </c>
      <c r="E187" s="11"/>
      <c r="F187" s="9" t="s">
        <v>1179</v>
      </c>
      <c r="G187" s="11"/>
      <c r="H187" s="9" t="s">
        <v>1180</v>
      </c>
      <c r="I187" s="11" t="str">
        <f aca="false">CONCATENATE("http://www.wikidata.org/entity/",H187)</f>
        <v>http://www.wikidata.org/entity/Q8261</v>
      </c>
      <c r="J187" s="9" t="s">
        <v>1181</v>
      </c>
      <c r="K187" s="11" t="str">
        <f aca="false">CONCATENATE("https://d-nb.info/gnd/",J187)</f>
        <v>https://d-nb.info/gnd/4050479-7</v>
      </c>
      <c r="L187" s="11" t="n">
        <v>300202580</v>
      </c>
      <c r="M187" s="11" t="str">
        <f aca="false">CONCATENATE("https://vocab.getty.edu/aat/",L187)</f>
        <v>https://vocab.getty.edu/aat/300202580</v>
      </c>
      <c r="N187" s="11"/>
      <c r="O187" s="11"/>
      <c r="P187" s="9" t="s">
        <v>1182</v>
      </c>
      <c r="Q187" s="9" t="s">
        <v>1183</v>
      </c>
    </row>
    <row r="188" customFormat="false" ht="15" hidden="false" customHeight="false" outlineLevel="0" collapsed="false">
      <c r="A188" s="28" t="s">
        <v>1184</v>
      </c>
      <c r="B188" s="2" t="n">
        <v>171</v>
      </c>
      <c r="C188" s="18" t="n">
        <v>163</v>
      </c>
      <c r="D188" s="9" t="s">
        <v>1185</v>
      </c>
      <c r="E188" s="11"/>
      <c r="F188" s="9" t="s">
        <v>1185</v>
      </c>
      <c r="G188" s="11"/>
      <c r="H188" s="9" t="s">
        <v>1186</v>
      </c>
      <c r="I188" s="11" t="str">
        <f aca="false">CONCATENATE("http://www.wikidata.org/entity/",H188)</f>
        <v>http://www.wikidata.org/entity/Q128758</v>
      </c>
      <c r="J188" s="9" t="s">
        <v>1187</v>
      </c>
      <c r="K188" s="11" t="str">
        <f aca="false">CONCATENATE("https://d-nb.info/gnd/",J188)</f>
        <v>https://d-nb.info/gnd/4051752-4</v>
      </c>
      <c r="L188" s="11" t="n">
        <v>300251297</v>
      </c>
      <c r="M188" s="11" t="str">
        <f aca="false">CONCATENATE("https://vocab.getty.edu/aat/",L188)</f>
        <v>https://vocab.getty.edu/aat/300251297</v>
      </c>
      <c r="N188" s="11"/>
      <c r="O188" s="11"/>
      <c r="P188" s="9" t="s">
        <v>1188</v>
      </c>
      <c r="Q188" s="9" t="s">
        <v>1189</v>
      </c>
    </row>
    <row r="189" customFormat="false" ht="15" hidden="false" customHeight="false" outlineLevel="0" collapsed="false">
      <c r="A189" s="28" t="s">
        <v>1190</v>
      </c>
      <c r="B189" s="2" t="n">
        <v>172</v>
      </c>
      <c r="C189" s="18" t="n">
        <v>150</v>
      </c>
      <c r="D189" s="9" t="s">
        <v>1191</v>
      </c>
      <c r="E189" s="11"/>
      <c r="F189" s="9" t="s">
        <v>1192</v>
      </c>
      <c r="G189" s="9" t="s">
        <v>1193</v>
      </c>
      <c r="H189" s="9" t="s">
        <v>1194</v>
      </c>
      <c r="I189" s="11" t="str">
        <f aca="false">CONCATENATE("http://www.wikidata.org/entity/",H189)</f>
        <v>http://www.wikidata.org/entity/Q106499608</v>
      </c>
      <c r="J189" s="11"/>
      <c r="K189" s="11"/>
      <c r="L189" s="11"/>
      <c r="M189" s="11"/>
      <c r="N189" s="11"/>
      <c r="O189" s="11"/>
      <c r="P189" s="9" t="s">
        <v>1195</v>
      </c>
      <c r="Q189" s="9" t="s">
        <v>1196</v>
      </c>
    </row>
    <row r="190" customFormat="false" ht="15" hidden="false" customHeight="false" outlineLevel="0" collapsed="false">
      <c r="A190" s="28" t="s">
        <v>1197</v>
      </c>
      <c r="B190" s="2" t="n">
        <v>173</v>
      </c>
      <c r="C190" s="18" t="n">
        <v>150</v>
      </c>
      <c r="D190" s="9" t="s">
        <v>1198</v>
      </c>
      <c r="E190" s="11"/>
      <c r="F190" s="9" t="s">
        <v>1199</v>
      </c>
      <c r="G190" s="9" t="s">
        <v>1200</v>
      </c>
      <c r="H190" s="9" t="s">
        <v>1201</v>
      </c>
      <c r="I190" s="11" t="str">
        <f aca="false">CONCATENATE("http://www.wikidata.org/entity/",H190)</f>
        <v>http://www.wikidata.org/entity/Q482</v>
      </c>
      <c r="J190" s="9" t="s">
        <v>1202</v>
      </c>
      <c r="K190" s="11" t="str">
        <f aca="false">CONCATENATE("https://d-nb.info/gnd/",J190)</f>
        <v>https://d-nb.info/gnd/4036774-5</v>
      </c>
      <c r="L190" s="11" t="n">
        <v>300055931</v>
      </c>
      <c r="M190" s="11" t="str">
        <f aca="false">CONCATENATE("https://vocab.getty.edu/aat/",L190)</f>
        <v>https://vocab.getty.edu/aat/300055931</v>
      </c>
      <c r="N190" s="11"/>
      <c r="O190" s="11"/>
      <c r="P190" s="9" t="s">
        <v>1203</v>
      </c>
      <c r="Q190" s="9" t="s">
        <v>1204</v>
      </c>
    </row>
    <row r="191" customFormat="false" ht="15" hidden="false" customHeight="false" outlineLevel="0" collapsed="false">
      <c r="A191" s="28" t="s">
        <v>1205</v>
      </c>
      <c r="B191" s="2" t="n">
        <v>174</v>
      </c>
      <c r="C191" s="18" t="n">
        <v>173</v>
      </c>
      <c r="D191" s="9" t="s">
        <v>1206</v>
      </c>
      <c r="E191" s="11"/>
      <c r="F191" s="9" t="s">
        <v>1207</v>
      </c>
      <c r="G191" s="11"/>
      <c r="H191" s="9" t="s">
        <v>1208</v>
      </c>
      <c r="I191" s="11" t="str">
        <f aca="false">CONCATENATE("http://www.wikidata.org/entity/",H191)</f>
        <v>http://www.wikidata.org/entity/Q173287</v>
      </c>
      <c r="J191" s="9" t="s">
        <v>1209</v>
      </c>
      <c r="K191" s="11" t="str">
        <f aca="false">CONCATENATE("https://d-nb.info/gnd/",J191)</f>
        <v>https://d-nb.info/gnd/4195703-9</v>
      </c>
      <c r="L191" s="11" t="n">
        <v>300256198</v>
      </c>
      <c r="M191" s="11" t="str">
        <f aca="false">CONCATENATE("https://vocab.getty.edu/aat/",L191)</f>
        <v>https://vocab.getty.edu/aat/300256198</v>
      </c>
      <c r="N191" s="11"/>
      <c r="O191" s="11"/>
      <c r="P191" s="9" t="s">
        <v>1210</v>
      </c>
      <c r="Q191" s="9" t="s">
        <v>1211</v>
      </c>
    </row>
    <row r="192" customFormat="false" ht="15" hidden="false" customHeight="false" outlineLevel="0" collapsed="false">
      <c r="A192" s="28" t="s">
        <v>1212</v>
      </c>
      <c r="B192" s="2" t="n">
        <v>175</v>
      </c>
      <c r="C192" s="18" t="n">
        <v>173</v>
      </c>
      <c r="D192" s="9" t="s">
        <v>1213</v>
      </c>
      <c r="E192" s="11"/>
      <c r="F192" s="9" t="s">
        <v>1214</v>
      </c>
      <c r="G192" s="11"/>
      <c r="H192" s="9" t="s">
        <v>1215</v>
      </c>
      <c r="I192" s="11" t="str">
        <f aca="false">CONCATENATE("http://www.wikidata.org/entity/",H192)</f>
        <v>http://www.wikidata.org/entity/Q182659</v>
      </c>
      <c r="J192" s="9" t="s">
        <v>1216</v>
      </c>
      <c r="K192" s="11" t="str">
        <f aca="false">CONCATENATE("https://d-nb.info/gnd/",J192)</f>
        <v>https://d-nb.info/gnd/4004343-5</v>
      </c>
      <c r="L192" s="11" t="n">
        <v>300451697</v>
      </c>
      <c r="M192" s="11" t="str">
        <f aca="false">CONCATENATE("https://vocab.getty.edu/aat/",L192)</f>
        <v>https://vocab.getty.edu/aat/300451697</v>
      </c>
      <c r="N192" s="11"/>
      <c r="O192" s="11"/>
      <c r="P192" s="9" t="s">
        <v>1217</v>
      </c>
      <c r="Q192" s="9" t="s">
        <v>1218</v>
      </c>
    </row>
    <row r="193" customFormat="false" ht="15" hidden="false" customHeight="false" outlineLevel="0" collapsed="false">
      <c r="A193" s="28" t="s">
        <v>1219</v>
      </c>
      <c r="B193" s="2" t="n">
        <v>176</v>
      </c>
      <c r="C193" s="18" t="n">
        <v>173</v>
      </c>
      <c r="D193" s="9" t="s">
        <v>1220</v>
      </c>
      <c r="E193" s="11"/>
      <c r="F193" s="9" t="s">
        <v>1221</v>
      </c>
      <c r="G193" s="11"/>
      <c r="H193" s="9" t="s">
        <v>1222</v>
      </c>
      <c r="I193" s="11" t="str">
        <f aca="false">CONCATENATE("http://www.wikidata.org/entity/",H193)</f>
        <v>http://www.wikidata.org/entity/Q174864</v>
      </c>
      <c r="J193" s="9" t="s">
        <v>1223</v>
      </c>
      <c r="K193" s="11" t="str">
        <f aca="false">CONCATENATE("https://d-nb.info/gnd/",J193)</f>
        <v>https://d-nb.info/gnd/4151713-1</v>
      </c>
      <c r="L193" s="11" t="n">
        <v>300026285</v>
      </c>
      <c r="M193" s="11" t="str">
        <f aca="false">CONCATENATE("https://vocab.getty.edu/aat/",L193)</f>
        <v>https://vocab.getty.edu/aat/300026285</v>
      </c>
      <c r="N193" s="11"/>
      <c r="O193" s="11"/>
      <c r="P193" s="9" t="s">
        <v>1224</v>
      </c>
      <c r="Q193" s="9" t="s">
        <v>1225</v>
      </c>
    </row>
    <row r="194" customFormat="false" ht="15" hidden="false" customHeight="false" outlineLevel="0" collapsed="false">
      <c r="A194" s="28" t="s">
        <v>1226</v>
      </c>
      <c r="B194" s="2" t="n">
        <v>177</v>
      </c>
      <c r="C194" s="18" t="n">
        <v>173</v>
      </c>
      <c r="D194" s="9" t="s">
        <v>1227</v>
      </c>
      <c r="E194" s="11"/>
      <c r="F194" s="9" t="s">
        <v>1228</v>
      </c>
      <c r="G194" s="11"/>
      <c r="H194" s="9" t="s">
        <v>1229</v>
      </c>
      <c r="I194" s="11" t="str">
        <f aca="false">CONCATENATE("http://www.wikidata.org/entity/",H194)</f>
        <v>http://www.wikidata.org/entity/Q193121</v>
      </c>
      <c r="J194" s="9" t="s">
        <v>1230</v>
      </c>
      <c r="K194" s="11" t="str">
        <f aca="false">CONCATENATE("https://d-nb.info/gnd/",J194)</f>
        <v>https://d-nb.info/gnd/4152507-3</v>
      </c>
      <c r="L194" s="11" t="n">
        <v>300202533</v>
      </c>
      <c r="M194" s="11" t="str">
        <f aca="false">CONCATENATE("https://vocab.getty.edu/aat/",L194)</f>
        <v>https://vocab.getty.edu/aat/300202533</v>
      </c>
      <c r="N194" s="11"/>
      <c r="O194" s="11"/>
      <c r="P194" s="9" t="s">
        <v>1231</v>
      </c>
      <c r="Q194" s="9" t="s">
        <v>1232</v>
      </c>
    </row>
    <row r="195" customFormat="false" ht="15" hidden="false" customHeight="false" outlineLevel="0" collapsed="false">
      <c r="A195" s="28" t="s">
        <v>1233</v>
      </c>
      <c r="B195" s="2" t="n">
        <v>178</v>
      </c>
      <c r="C195" s="18" t="n">
        <v>173</v>
      </c>
      <c r="D195" s="9" t="s">
        <v>1234</v>
      </c>
      <c r="E195" s="11"/>
      <c r="F195" s="9" t="s">
        <v>1235</v>
      </c>
      <c r="G195" s="11"/>
      <c r="H195" s="9" t="s">
        <v>1236</v>
      </c>
      <c r="I195" s="11" t="str">
        <f aca="false">CONCATENATE("http://www.wikidata.org/entity/",H195)</f>
        <v>http://www.wikidata.org/entity/Q5185279</v>
      </c>
      <c r="J195" s="11"/>
      <c r="K195" s="11"/>
      <c r="L195" s="11" t="n">
        <v>300026451</v>
      </c>
      <c r="M195" s="11" t="str">
        <f aca="false">CONCATENATE("https://vocab.getty.edu/aat/",L195)</f>
        <v>https://vocab.getty.edu/aat/300026451</v>
      </c>
      <c r="N195" s="11"/>
      <c r="O195" s="11"/>
      <c r="P195" s="9" t="s">
        <v>1237</v>
      </c>
      <c r="Q195" s="9" t="s">
        <v>1238</v>
      </c>
    </row>
    <row r="196" customFormat="false" ht="15" hidden="false" customHeight="false" outlineLevel="0" collapsed="false">
      <c r="A196" s="28" t="s">
        <v>1239</v>
      </c>
      <c r="B196" s="2" t="n">
        <v>179</v>
      </c>
      <c r="C196" s="18" t="n">
        <v>173</v>
      </c>
      <c r="D196" s="9" t="s">
        <v>1240</v>
      </c>
      <c r="E196" s="11"/>
      <c r="F196" s="9" t="s">
        <v>1241</v>
      </c>
      <c r="G196" s="11"/>
      <c r="H196" s="9" t="s">
        <v>1242</v>
      </c>
      <c r="I196" s="11" t="str">
        <f aca="false">CONCATENATE("http://www.wikidata.org/entity/",H196)</f>
        <v>http://www.wikidata.org/entity/Q12106333</v>
      </c>
      <c r="J196" s="11"/>
      <c r="K196" s="11"/>
      <c r="L196" s="11"/>
      <c r="M196" s="11"/>
      <c r="N196" s="11"/>
      <c r="O196" s="11"/>
      <c r="P196" s="9" t="s">
        <v>1243</v>
      </c>
      <c r="Q196" s="9" t="s">
        <v>1244</v>
      </c>
    </row>
    <row r="197" customFormat="false" ht="15" hidden="false" customHeight="false" outlineLevel="0" collapsed="false">
      <c r="A197" s="28" t="s">
        <v>1245</v>
      </c>
      <c r="B197" s="2" t="n">
        <v>180</v>
      </c>
      <c r="C197" s="18" t="n">
        <v>173</v>
      </c>
      <c r="D197" s="9" t="s">
        <v>1246</v>
      </c>
      <c r="E197" s="11"/>
      <c r="F197" s="9" t="s">
        <v>1246</v>
      </c>
      <c r="G197" s="11"/>
      <c r="H197" s="9" t="s">
        <v>1247</v>
      </c>
      <c r="I197" s="11" t="str">
        <f aca="false">CONCATENATE("http://www.wikidata.org/entity/",H197)</f>
        <v>http://www.wikidata.org/entity/Q37707</v>
      </c>
      <c r="J197" s="9" t="s">
        <v>1248</v>
      </c>
      <c r="K197" s="11" t="str">
        <f aca="false">CONCATENATE("https://d-nb.info/gnd/",J197)</f>
        <v>https://d-nb.info/gnd/4022963-4</v>
      </c>
      <c r="L197" s="11"/>
      <c r="M197" s="11"/>
      <c r="N197" s="11"/>
      <c r="O197" s="11"/>
      <c r="P197" s="9" t="s">
        <v>1249</v>
      </c>
      <c r="Q197" s="9" t="s">
        <v>1250</v>
      </c>
    </row>
    <row r="198" customFormat="false" ht="15" hidden="false" customHeight="false" outlineLevel="0" collapsed="false">
      <c r="A198" s="28" t="s">
        <v>1251</v>
      </c>
      <c r="B198" s="2" t="n">
        <v>181</v>
      </c>
      <c r="C198" s="18" t="n">
        <v>173</v>
      </c>
      <c r="D198" s="9" t="s">
        <v>1252</v>
      </c>
      <c r="E198" s="11"/>
      <c r="F198" s="9" t="s">
        <v>1253</v>
      </c>
      <c r="G198" s="11"/>
      <c r="H198" s="9" t="s">
        <v>1254</v>
      </c>
      <c r="I198" s="11" t="str">
        <f aca="false">CONCATENATE("http://www.wikidata.org/entity/",H198)</f>
        <v>http://www.wikidata.org/entity/Q484692</v>
      </c>
      <c r="J198" s="9" t="s">
        <v>1255</v>
      </c>
      <c r="K198" s="11" t="str">
        <f aca="false">CONCATENATE("https://d-nb.info/gnd/",J198)</f>
        <v>https://d-nb.info/gnd/4125676-1</v>
      </c>
      <c r="L198" s="11" t="n">
        <v>300167054</v>
      </c>
      <c r="M198" s="11" t="str">
        <f aca="false">CONCATENATE("https://vocab.getty.edu/aat/",L198)</f>
        <v>https://vocab.getty.edu/aat/300167054</v>
      </c>
      <c r="N198" s="11"/>
      <c r="O198" s="11"/>
      <c r="P198" s="9" t="s">
        <v>1256</v>
      </c>
      <c r="Q198" s="9" t="s">
        <v>1257</v>
      </c>
    </row>
    <row r="199" customFormat="false" ht="15" hidden="false" customHeight="false" outlineLevel="0" collapsed="false">
      <c r="A199" s="28" t="s">
        <v>1258</v>
      </c>
      <c r="B199" s="2" t="n">
        <v>182</v>
      </c>
      <c r="C199" s="18" t="n">
        <v>173</v>
      </c>
      <c r="D199" s="9" t="s">
        <v>1259</v>
      </c>
      <c r="E199" s="11"/>
      <c r="F199" s="9" t="s">
        <v>1260</v>
      </c>
      <c r="G199" s="11"/>
      <c r="H199" s="9" t="s">
        <v>1261</v>
      </c>
      <c r="I199" s="11" t="str">
        <f aca="false">CONCATENATE("http://www.wikidata.org/entity/",H199)</f>
        <v>http://www.wikidata.org/entity/Q596594</v>
      </c>
      <c r="J199" s="9" t="s">
        <v>1262</v>
      </c>
      <c r="K199" s="11" t="str">
        <f aca="false">CONCATENATE("https://d-nb.info/gnd/",J199)</f>
        <v>https://d-nb.info/gnd/4073689-1</v>
      </c>
      <c r="L199" s="11" t="n">
        <v>300055932</v>
      </c>
      <c r="M199" s="11" t="str">
        <f aca="false">CONCATENATE("https://vocab.getty.edu/aat/",L199)</f>
        <v>https://vocab.getty.edu/aat/300055932</v>
      </c>
      <c r="N199" s="11"/>
      <c r="O199" s="11"/>
      <c r="P199" s="9" t="s">
        <v>1263</v>
      </c>
      <c r="Q199" s="9" t="s">
        <v>1264</v>
      </c>
    </row>
    <row r="200" customFormat="false" ht="15" hidden="false" customHeight="false" outlineLevel="0" collapsed="false">
      <c r="A200" s="28" t="s">
        <v>1265</v>
      </c>
      <c r="B200" s="2" t="n">
        <v>183</v>
      </c>
      <c r="C200" s="18" t="n">
        <v>173</v>
      </c>
      <c r="D200" s="9" t="s">
        <v>1266</v>
      </c>
      <c r="E200" s="11"/>
      <c r="F200" s="9" t="s">
        <v>1267</v>
      </c>
      <c r="G200" s="11"/>
      <c r="H200" s="9" t="s">
        <v>1268</v>
      </c>
      <c r="I200" s="11" t="str">
        <f aca="false">CONCATENATE("http://www.wikidata.org/entity/",H200)</f>
        <v>http://www.wikidata.org/entity/Q1808721</v>
      </c>
      <c r="J200" s="9" t="s">
        <v>1269</v>
      </c>
      <c r="K200" s="11" t="str">
        <f aca="false">CONCATENATE("https://d-nb.info/gnd/",J200)</f>
        <v>https://d-nb.info/gnd/4166943-5</v>
      </c>
      <c r="L200" s="11" t="n">
        <v>300262601</v>
      </c>
      <c r="M200" s="11" t="str">
        <f aca="false">CONCATENATE("https://vocab.getty.edu/aat/",L200)</f>
        <v>https://vocab.getty.edu/aat/300262601</v>
      </c>
      <c r="N200" s="11"/>
      <c r="O200" s="11"/>
      <c r="P200" s="9" t="s">
        <v>1270</v>
      </c>
      <c r="Q200" s="9" t="s">
        <v>1271</v>
      </c>
    </row>
    <row r="201" customFormat="false" ht="15" hidden="false" customHeight="false" outlineLevel="0" collapsed="false">
      <c r="A201" s="28" t="s">
        <v>1272</v>
      </c>
      <c r="B201" s="2" t="n">
        <v>184</v>
      </c>
      <c r="C201" s="18" t="n">
        <v>173</v>
      </c>
      <c r="D201" s="9" t="s">
        <v>1273</v>
      </c>
      <c r="E201" s="11"/>
      <c r="F201" s="9" t="s">
        <v>1273</v>
      </c>
      <c r="G201" s="11"/>
      <c r="H201" s="9" t="s">
        <v>1274</v>
      </c>
      <c r="I201" s="11" t="str">
        <f aca="false">CONCATENATE("http://www.wikidata.org/entity/",H201)</f>
        <v>http://www.wikidata.org/entity/Q204698</v>
      </c>
      <c r="J201" s="9" t="s">
        <v>1275</v>
      </c>
      <c r="K201" s="11" t="str">
        <f aca="false">CONCATENATE("https://d-nb.info/gnd/",J201)</f>
        <v>https://d-nb.info/gnd/4167675-0</v>
      </c>
      <c r="L201" s="11" t="n">
        <v>300417752</v>
      </c>
      <c r="M201" s="11" t="str">
        <f aca="false">CONCATENATE("https://vocab.getty.edu/aat/",L201)</f>
        <v>https://vocab.getty.edu/aat/300417752</v>
      </c>
      <c r="N201" s="11"/>
      <c r="O201" s="11"/>
      <c r="P201" s="9" t="s">
        <v>1276</v>
      </c>
      <c r="Q201" s="9" t="s">
        <v>1277</v>
      </c>
    </row>
    <row r="202" customFormat="false" ht="15" hidden="false" customHeight="false" outlineLevel="0" collapsed="false">
      <c r="A202" s="28" t="s">
        <v>1278</v>
      </c>
      <c r="B202" s="2" t="n">
        <v>185</v>
      </c>
      <c r="C202" s="18" t="n">
        <v>173</v>
      </c>
      <c r="D202" s="9" t="s">
        <v>1279</v>
      </c>
      <c r="E202" s="11"/>
      <c r="F202" s="9" t="s">
        <v>1280</v>
      </c>
      <c r="G202" s="11"/>
      <c r="H202" s="9" t="s">
        <v>1281</v>
      </c>
      <c r="I202" s="11" t="str">
        <f aca="false">CONCATENATE("http://www.wikidata.org/entity/",H202)</f>
        <v>http://www.wikidata.org/entity/Q602446</v>
      </c>
      <c r="J202" s="11" t="n">
        <v>1190608006</v>
      </c>
      <c r="K202" s="11" t="str">
        <f aca="false">CONCATENATE("https://d-nb.info/gnd/",J202)</f>
        <v>https://d-nb.info/gnd/1190608006</v>
      </c>
      <c r="L202" s="11"/>
      <c r="M202" s="11"/>
      <c r="N202" s="11"/>
      <c r="O202" s="11"/>
      <c r="P202" s="9" t="s">
        <v>1282</v>
      </c>
      <c r="Q202" s="9" t="s">
        <v>1283</v>
      </c>
    </row>
    <row r="203" customFormat="false" ht="15" hidden="false" customHeight="false" outlineLevel="0" collapsed="false">
      <c r="A203" s="28" t="s">
        <v>1284</v>
      </c>
      <c r="B203" s="2" t="n">
        <v>186</v>
      </c>
      <c r="C203" s="18" t="n">
        <v>150</v>
      </c>
      <c r="D203" s="9" t="s">
        <v>1285</v>
      </c>
      <c r="E203" s="9" t="s">
        <v>1286</v>
      </c>
      <c r="F203" s="9" t="s">
        <v>1287</v>
      </c>
      <c r="G203" s="11"/>
      <c r="H203" s="9" t="s">
        <v>1288</v>
      </c>
      <c r="I203" s="11" t="str">
        <f aca="false">CONCATENATE("http://www.wikidata.org/entity/",H203)</f>
        <v>http://www.wikidata.org/entity/Q13136</v>
      </c>
      <c r="J203" s="9" t="s">
        <v>1289</v>
      </c>
      <c r="K203" s="11" t="str">
        <f aca="false">CONCATENATE("https://d-nb.info/gnd/",J203)</f>
        <v>https://d-nb.info/gnd/4041070-5</v>
      </c>
      <c r="L203" s="11" t="n">
        <v>300198412</v>
      </c>
      <c r="M203" s="11" t="str">
        <f aca="false">CONCATENATE("https://vocab.getty.edu/aat/",L203)</f>
        <v>https://vocab.getty.edu/aat/300198412</v>
      </c>
      <c r="N203" s="11"/>
      <c r="O203" s="11"/>
      <c r="P203" s="9" t="s">
        <v>1290</v>
      </c>
      <c r="Q203" s="9" t="s">
        <v>1291</v>
      </c>
    </row>
    <row r="204" customFormat="false" ht="15" hidden="false" customHeight="false" outlineLevel="0" collapsed="false">
      <c r="A204" s="28" t="s">
        <v>1292</v>
      </c>
      <c r="B204" s="2" t="n">
        <v>187</v>
      </c>
      <c r="C204" s="18" t="n">
        <v>150</v>
      </c>
      <c r="D204" s="9" t="s">
        <v>1293</v>
      </c>
      <c r="E204" s="11"/>
      <c r="F204" s="9" t="s">
        <v>1294</v>
      </c>
      <c r="G204" s="11"/>
      <c r="H204" s="9" t="s">
        <v>1295</v>
      </c>
      <c r="I204" s="11" t="str">
        <f aca="false">CONCATENATE("http://www.wikidata.org/entity/",H204)</f>
        <v>http://www.wikidata.org/entity/Q213051</v>
      </c>
      <c r="J204" s="11"/>
      <c r="K204" s="11"/>
      <c r="L204" s="11" t="n">
        <v>300163411</v>
      </c>
      <c r="M204" s="11" t="str">
        <f aca="false">CONCATENATE("https://vocab.getty.edu/aat/",L204)</f>
        <v>https://vocab.getty.edu/aat/300163411</v>
      </c>
      <c r="N204" s="11"/>
      <c r="O204" s="11"/>
      <c r="P204" s="9" t="s">
        <v>1296</v>
      </c>
      <c r="Q204" s="9" t="s">
        <v>1297</v>
      </c>
    </row>
    <row r="205" customFormat="false" ht="15" hidden="false" customHeight="false" outlineLevel="0" collapsed="false">
      <c r="A205" s="28" t="s">
        <v>1298</v>
      </c>
      <c r="B205" s="2" t="n">
        <v>188</v>
      </c>
      <c r="C205" s="18" t="n">
        <v>187</v>
      </c>
      <c r="D205" s="9" t="s">
        <v>1299</v>
      </c>
      <c r="E205" s="11"/>
      <c r="F205" s="9" t="s">
        <v>1300</v>
      </c>
      <c r="G205" s="11"/>
      <c r="H205" s="9" t="s">
        <v>1301</v>
      </c>
      <c r="I205" s="11" t="str">
        <f aca="false">CONCATENATE("http://www.wikidata.org/entity/",H205)</f>
        <v>http://www.wikidata.org/entity/Q4184</v>
      </c>
      <c r="J205" s="9" t="s">
        <v>1302</v>
      </c>
      <c r="K205" s="11" t="str">
        <f aca="false">CONCATENATE("https://d-nb.info/gnd/",J205)</f>
        <v>https://d-nb.info/gnd/4003939-0</v>
      </c>
      <c r="L205" s="11" t="n">
        <v>300080104</v>
      </c>
      <c r="M205" s="11" t="str">
        <f aca="false">CONCATENATE("https://vocab.getty.edu/aat/",L205)</f>
        <v>https://vocab.getty.edu/aat/300080104</v>
      </c>
      <c r="N205" s="11"/>
      <c r="O205" s="11"/>
      <c r="P205" s="9" t="s">
        <v>1303</v>
      </c>
      <c r="Q205" s="9" t="s">
        <v>1304</v>
      </c>
    </row>
    <row r="206" customFormat="false" ht="15" hidden="false" customHeight="false" outlineLevel="0" collapsed="false">
      <c r="A206" s="28" t="s">
        <v>1305</v>
      </c>
      <c r="B206" s="2" t="n">
        <v>189</v>
      </c>
      <c r="C206" s="18" t="n">
        <v>187</v>
      </c>
      <c r="D206" s="9" t="s">
        <v>1306</v>
      </c>
      <c r="E206" s="11"/>
      <c r="F206" s="9" t="s">
        <v>1307</v>
      </c>
      <c r="G206" s="11"/>
      <c r="H206" s="9" t="s">
        <v>1308</v>
      </c>
      <c r="I206" s="11" t="str">
        <f aca="false">CONCATENATE("http://www.wikidata.org/entity/",H206)</f>
        <v>http://www.wikidata.org/entity/Q36279</v>
      </c>
      <c r="J206" s="9" t="s">
        <v>1309</v>
      </c>
      <c r="K206" s="11" t="str">
        <f aca="false">CONCATENATE("https://d-nb.info/gnd/",J206)</f>
        <v>https://d-nb.info/gnd/4006804-3</v>
      </c>
      <c r="L206" s="11" t="n">
        <v>300080102</v>
      </c>
      <c r="M206" s="11" t="str">
        <f aca="false">CONCATENATE("https://vocab.getty.edu/aat/",L206)</f>
        <v>https://vocab.getty.edu/aat/300080102</v>
      </c>
      <c r="N206" s="11"/>
      <c r="O206" s="11"/>
      <c r="P206" s="9" t="s">
        <v>1310</v>
      </c>
      <c r="Q206" s="9" t="s">
        <v>1311</v>
      </c>
    </row>
    <row r="207" customFormat="false" ht="15" hidden="false" customHeight="false" outlineLevel="0" collapsed="false">
      <c r="A207" s="28" t="s">
        <v>1312</v>
      </c>
      <c r="B207" s="2" t="n">
        <v>190</v>
      </c>
      <c r="C207" s="18" t="n">
        <v>187</v>
      </c>
      <c r="D207" s="9" t="s">
        <v>1313</v>
      </c>
      <c r="E207" s="11"/>
      <c r="F207" s="9" t="s">
        <v>1313</v>
      </c>
      <c r="G207" s="11"/>
      <c r="H207" s="9" t="s">
        <v>1314</v>
      </c>
      <c r="I207" s="11" t="str">
        <f aca="false">CONCATENATE("http://www.wikidata.org/entity/",H207)</f>
        <v>http://www.wikidata.org/entity/Q30849</v>
      </c>
      <c r="J207" s="9" t="s">
        <v>1315</v>
      </c>
      <c r="K207" s="11" t="str">
        <f aca="false">CONCATENATE("https://d-nb.info/gnd/",J207)</f>
        <v>https://d-nb.info/gnd/4678688-0</v>
      </c>
      <c r="L207" s="11" t="n">
        <v>300265722</v>
      </c>
      <c r="M207" s="11" t="str">
        <f aca="false">CONCATENATE("https://vocab.getty.edu/aat/",L207)</f>
        <v>https://vocab.getty.edu/aat/300265722</v>
      </c>
      <c r="N207" s="11"/>
      <c r="O207" s="11"/>
      <c r="P207" s="9" t="s">
        <v>1316</v>
      </c>
      <c r="Q207" s="9" t="s">
        <v>1317</v>
      </c>
    </row>
    <row r="208" customFormat="false" ht="15" hidden="false" customHeight="false" outlineLevel="0" collapsed="false">
      <c r="A208" s="28" t="s">
        <v>1318</v>
      </c>
      <c r="B208" s="2" t="n">
        <v>191</v>
      </c>
      <c r="C208" s="18" t="n">
        <v>187</v>
      </c>
      <c r="D208" s="9" t="s">
        <v>1319</v>
      </c>
      <c r="E208" s="11"/>
      <c r="F208" s="9" t="s">
        <v>1319</v>
      </c>
      <c r="G208" s="11"/>
      <c r="H208" s="9" t="s">
        <v>1320</v>
      </c>
      <c r="I208" s="11" t="str">
        <f aca="false">CONCATENATE("http://www.wikidata.org/entity/",H208)</f>
        <v>http://www.wikidata.org/entity/Q35760</v>
      </c>
      <c r="J208" s="9" t="s">
        <v>1321</v>
      </c>
      <c r="K208" s="11" t="str">
        <f aca="false">CONCATENATE("https://d-nb.info/gnd/",J208)</f>
        <v>https://d-nb.info/gnd/4015553-5</v>
      </c>
      <c r="L208" s="11" t="n">
        <v>300026291</v>
      </c>
      <c r="M208" s="11" t="str">
        <f aca="false">CONCATENATE("https://vocab.getty.edu/aat/",L208)</f>
        <v>https://vocab.getty.edu/aat/300026291</v>
      </c>
      <c r="N208" s="11"/>
      <c r="O208" s="11"/>
      <c r="P208" s="9" t="s">
        <v>1322</v>
      </c>
      <c r="Q208" s="9" t="s">
        <v>1323</v>
      </c>
    </row>
    <row r="209" customFormat="false" ht="15" hidden="false" customHeight="false" outlineLevel="0" collapsed="false">
      <c r="A209" s="28" t="s">
        <v>1324</v>
      </c>
      <c r="B209" s="2" t="n">
        <v>192</v>
      </c>
      <c r="C209" s="18" t="n">
        <v>187</v>
      </c>
      <c r="D209" s="9" t="s">
        <v>1325</v>
      </c>
      <c r="E209" s="11"/>
      <c r="F209" s="9" t="s">
        <v>1326</v>
      </c>
      <c r="G209" s="11"/>
      <c r="H209" s="9" t="s">
        <v>1327</v>
      </c>
      <c r="I209" s="11" t="str">
        <f aca="false">CONCATENATE("http://www.wikidata.org/entity/",H209)</f>
        <v>http://www.wikidata.org/entity/Q46337</v>
      </c>
      <c r="J209" s="9" t="s">
        <v>1328</v>
      </c>
      <c r="K209" s="11" t="str">
        <f aca="false">CONCATENATE("https://d-nb.info/gnd/",J209)</f>
        <v>https://d-nb.info/gnd/4205648-2</v>
      </c>
      <c r="L209" s="11" t="n">
        <v>300026393</v>
      </c>
      <c r="M209" s="11" t="str">
        <f aca="false">CONCATENATE("https://vocab.getty.edu/aat/",L209)</f>
        <v>https://vocab.getty.edu/aat/300026393</v>
      </c>
      <c r="N209" s="11"/>
      <c r="O209" s="11"/>
      <c r="P209" s="9" t="s">
        <v>1329</v>
      </c>
      <c r="Q209" s="9" t="s">
        <v>1330</v>
      </c>
    </row>
    <row r="210" customFormat="false" ht="15" hidden="false" customHeight="false" outlineLevel="0" collapsed="false">
      <c r="A210" s="28" t="s">
        <v>1331</v>
      </c>
      <c r="B210" s="2" t="n">
        <v>193</v>
      </c>
      <c r="C210" s="18" t="n">
        <v>187</v>
      </c>
      <c r="D210" s="9" t="s">
        <v>1332</v>
      </c>
      <c r="E210" s="11"/>
      <c r="F210" s="9" t="s">
        <v>1332</v>
      </c>
      <c r="G210" s="11"/>
      <c r="H210" s="9" t="s">
        <v>1333</v>
      </c>
      <c r="I210" s="11" t="str">
        <f aca="false">CONCATENATE("http://www.wikidata.org/entity/",H210)</f>
        <v>http://www.wikidata.org/entity/Q112983</v>
      </c>
      <c r="J210" s="11"/>
      <c r="K210" s="11"/>
      <c r="L210" s="11" t="n">
        <v>300202559</v>
      </c>
      <c r="M210" s="11" t="str">
        <f aca="false">CONCATENATE("https://vocab.getty.edu/aat/",L210)</f>
        <v>https://vocab.getty.edu/aat/300202559</v>
      </c>
      <c r="N210" s="11"/>
      <c r="O210" s="11"/>
      <c r="P210" s="9" t="s">
        <v>1334</v>
      </c>
      <c r="Q210" s="9" t="s">
        <v>1335</v>
      </c>
    </row>
    <row r="211" customFormat="false" ht="15" hidden="false" customHeight="false" outlineLevel="0" collapsed="false">
      <c r="A211" s="28" t="s">
        <v>1336</v>
      </c>
      <c r="B211" s="2" t="n">
        <v>194</v>
      </c>
      <c r="C211" s="18" t="n">
        <v>187</v>
      </c>
      <c r="D211" s="9" t="s">
        <v>1337</v>
      </c>
      <c r="E211" s="11"/>
      <c r="F211" s="9" t="s">
        <v>1338</v>
      </c>
      <c r="G211" s="9" t="s">
        <v>1339</v>
      </c>
      <c r="H211" s="9" t="s">
        <v>1340</v>
      </c>
      <c r="I211" s="11" t="str">
        <f aca="false">CONCATENATE("http://www.wikidata.org/entity/",H211)</f>
        <v>http://www.wikidata.org/entity/Q3739522</v>
      </c>
      <c r="J211" s="9" t="s">
        <v>1341</v>
      </c>
      <c r="K211" s="11" t="str">
        <f aca="false">CONCATENATE("https://d-nb.info/gnd/",J211)</f>
        <v>https://d-nb.info/gnd/4048476-2</v>
      </c>
      <c r="L211" s="11"/>
      <c r="M211" s="11"/>
      <c r="N211" s="11"/>
      <c r="O211" s="11"/>
      <c r="P211" s="9" t="s">
        <v>1342</v>
      </c>
      <c r="Q211" s="9" t="s">
        <v>1343</v>
      </c>
    </row>
    <row r="212" customFormat="false" ht="15" hidden="false" customHeight="false" outlineLevel="0" collapsed="false">
      <c r="A212" s="28" t="s">
        <v>1344</v>
      </c>
      <c r="B212" s="2" t="n">
        <v>195</v>
      </c>
      <c r="C212" s="18" t="n">
        <v>187</v>
      </c>
      <c r="D212" s="9" t="s">
        <v>1345</v>
      </c>
      <c r="E212" s="11"/>
      <c r="F212" s="9" t="s">
        <v>1346</v>
      </c>
      <c r="G212" s="11"/>
      <c r="H212" s="9" t="s">
        <v>1347</v>
      </c>
      <c r="I212" s="11" t="str">
        <f aca="false">CONCATENATE("http://www.wikidata.org/entity/",H212)</f>
        <v>http://www.wikidata.org/entity/Q20540385</v>
      </c>
      <c r="J212" s="9" t="s">
        <v>1348</v>
      </c>
      <c r="K212" s="11" t="str">
        <f aca="false">CONCATENATE("https://d-nb.info/gnd/",J212)</f>
        <v>https://d-nb.info/gnd/4129720-9</v>
      </c>
      <c r="L212" s="11" t="n">
        <v>300163411</v>
      </c>
      <c r="M212" s="11" t="str">
        <f aca="false">CONCATENATE("https://vocab.getty.edu/aat/",L212)</f>
        <v>https://vocab.getty.edu/aat/300163411</v>
      </c>
      <c r="N212" s="11"/>
      <c r="O212" s="11"/>
      <c r="P212" s="9" t="s">
        <v>1349</v>
      </c>
      <c r="Q212" s="9" t="s">
        <v>1350</v>
      </c>
    </row>
    <row r="213" customFormat="false" ht="15" hidden="false" customHeight="false" outlineLevel="0" collapsed="false">
      <c r="A213" s="28" t="s">
        <v>1351</v>
      </c>
      <c r="B213" s="2" t="n">
        <v>196</v>
      </c>
      <c r="C213" s="18" t="n">
        <v>187</v>
      </c>
      <c r="D213" s="9" t="s">
        <v>1352</v>
      </c>
      <c r="E213" s="11"/>
      <c r="F213" s="9" t="s">
        <v>1353</v>
      </c>
      <c r="G213" s="11"/>
      <c r="H213" s="9" t="s">
        <v>1354</v>
      </c>
      <c r="I213" s="11" t="str">
        <f aca="false">CONCATENATE("http://www.wikidata.org/entity/",H213)</f>
        <v>http://www.wikidata.org/entity/Q1325447</v>
      </c>
      <c r="J213" s="11"/>
      <c r="K213" s="11"/>
      <c r="L213" s="11"/>
      <c r="M213" s="11"/>
      <c r="N213" s="11"/>
      <c r="O213" s="11"/>
      <c r="P213" s="9" t="s">
        <v>1355</v>
      </c>
      <c r="Q213" s="9" t="s">
        <v>1356</v>
      </c>
    </row>
    <row r="214" customFormat="false" ht="15" hidden="false" customHeight="false" outlineLevel="0" collapsed="false">
      <c r="A214" s="28" t="s">
        <v>1357</v>
      </c>
      <c r="B214" s="2" t="n">
        <v>197</v>
      </c>
      <c r="C214" s="18"/>
      <c r="D214" s="9" t="s">
        <v>1358</v>
      </c>
      <c r="E214" s="11"/>
      <c r="F214" s="9" t="s">
        <v>1359</v>
      </c>
      <c r="G214" s="11"/>
      <c r="H214" s="9" t="s">
        <v>1360</v>
      </c>
      <c r="I214" s="11" t="str">
        <f aca="false">CONCATENATE("http://www.wikidata.org/entity/",H214)</f>
        <v>http://www.wikidata.org/entity/Q638</v>
      </c>
      <c r="J214" s="9" t="s">
        <v>1361</v>
      </c>
      <c r="K214" s="11" t="str">
        <f aca="false">CONCATENATE("https://d-nb.info/gnd/",J214)</f>
        <v>https://d-nb.info/gnd/4040802-4</v>
      </c>
      <c r="L214" s="11" t="n">
        <v>300417584</v>
      </c>
      <c r="M214" s="11" t="str">
        <f aca="false">CONCATENATE("https://vocab.getty.edu/aat/",L214)</f>
        <v>https://vocab.getty.edu/aat/300417584</v>
      </c>
      <c r="N214" s="11"/>
      <c r="O214" s="11"/>
      <c r="P214" s="9" t="s">
        <v>1359</v>
      </c>
      <c r="Q214" s="9" t="s">
        <v>1358</v>
      </c>
    </row>
    <row r="215" customFormat="false" ht="15" hidden="false" customHeight="false" outlineLevel="0" collapsed="false">
      <c r="A215" s="28" t="s">
        <v>1362</v>
      </c>
      <c r="B215" s="2" t="n">
        <v>198</v>
      </c>
      <c r="C215" s="18" t="n">
        <v>197</v>
      </c>
      <c r="D215" s="9" t="s">
        <v>1363</v>
      </c>
      <c r="E215" s="11"/>
      <c r="F215" s="9" t="s">
        <v>1364</v>
      </c>
      <c r="G215" s="11"/>
      <c r="H215" s="9" t="s">
        <v>1365</v>
      </c>
      <c r="I215" s="11" t="str">
        <f aca="false">CONCATENATE("http://www.wikidata.org/entity/",H215)</f>
        <v>http://www.wikidata.org/entity/Q123561622</v>
      </c>
      <c r="J215" s="11"/>
      <c r="K215" s="11"/>
      <c r="L215" s="11"/>
      <c r="M215" s="11"/>
      <c r="N215" s="11"/>
      <c r="O215" s="11"/>
      <c r="P215" s="9" t="s">
        <v>1366</v>
      </c>
      <c r="Q215" s="9" t="s">
        <v>1367</v>
      </c>
    </row>
    <row r="216" customFormat="false" ht="15" hidden="false" customHeight="false" outlineLevel="0" collapsed="false">
      <c r="A216" s="28" t="s">
        <v>1368</v>
      </c>
      <c r="B216" s="2" t="n">
        <v>199</v>
      </c>
      <c r="C216" s="18" t="n">
        <v>197</v>
      </c>
      <c r="D216" s="9" t="s">
        <v>1369</v>
      </c>
      <c r="E216" s="11"/>
      <c r="F216" s="9" t="s">
        <v>1370</v>
      </c>
      <c r="G216" s="11"/>
      <c r="H216" s="9" t="s">
        <v>1371</v>
      </c>
      <c r="I216" s="11" t="str">
        <f aca="false">CONCATENATE("http://www.wikidata.org/entity/",H216)</f>
        <v>http://www.wikidata.org/entity/Q1020611</v>
      </c>
      <c r="J216" s="9" t="s">
        <v>1372</v>
      </c>
      <c r="K216" s="11" t="str">
        <f aca="false">CONCATENATE("https://d-nb.info/gnd/",J216)</f>
        <v>https://d-nb.info/gnd/4146861-2</v>
      </c>
      <c r="L216" s="11"/>
      <c r="M216" s="11"/>
      <c r="N216" s="11"/>
      <c r="O216" s="11"/>
      <c r="P216" s="9" t="s">
        <v>1373</v>
      </c>
      <c r="Q216" s="9" t="s">
        <v>1374</v>
      </c>
    </row>
    <row r="217" customFormat="false" ht="15" hidden="false" customHeight="false" outlineLevel="0" collapsed="false">
      <c r="A217" s="28" t="s">
        <v>1375</v>
      </c>
      <c r="B217" s="2" t="n">
        <v>200</v>
      </c>
      <c r="C217" s="18" t="n">
        <v>197</v>
      </c>
      <c r="D217" s="9" t="s">
        <v>1376</v>
      </c>
      <c r="E217" s="11"/>
      <c r="F217" s="9" t="s">
        <v>1377</v>
      </c>
      <c r="G217" s="11"/>
      <c r="H217" s="9" t="s">
        <v>1378</v>
      </c>
      <c r="I217" s="11" t="str">
        <f aca="false">CONCATENATE("http://www.wikidata.org/entity/",H217)</f>
        <v>http://www.wikidata.org/entity/Q1326777</v>
      </c>
      <c r="J217" s="9" t="s">
        <v>1379</v>
      </c>
      <c r="K217" s="11" t="str">
        <f aca="false">CONCATENATE("https://d-nb.info/gnd/",J217)</f>
        <v>https://d-nb.info/gnd/4014355-7</v>
      </c>
      <c r="L217" s="11" t="n">
        <v>300266573</v>
      </c>
      <c r="M217" s="11" t="str">
        <f aca="false">CONCATENATE("https://vocab.getty.edu/aat/",L217)</f>
        <v>https://vocab.getty.edu/aat/300266573</v>
      </c>
      <c r="N217" s="11"/>
      <c r="O217" s="11"/>
      <c r="P217" s="9" t="s">
        <v>1380</v>
      </c>
      <c r="Q217" s="9" t="s">
        <v>1381</v>
      </c>
    </row>
    <row r="218" customFormat="false" ht="15" hidden="false" customHeight="false" outlineLevel="0" collapsed="false">
      <c r="A218" s="28" t="s">
        <v>1382</v>
      </c>
      <c r="B218" s="2" t="n">
        <v>201</v>
      </c>
      <c r="C218" s="18" t="n">
        <v>197</v>
      </c>
      <c r="D218" s="9" t="s">
        <v>1383</v>
      </c>
      <c r="E218" s="11"/>
      <c r="F218" s="9" t="s">
        <v>1384</v>
      </c>
      <c r="G218" s="11"/>
      <c r="H218" s="9" t="s">
        <v>1385</v>
      </c>
      <c r="I218" s="11" t="str">
        <f aca="false">CONCATENATE("http://www.wikidata.org/entity/",H218)</f>
        <v>http://www.wikidata.org/entity/Q9778</v>
      </c>
      <c r="J218" s="9" t="s">
        <v>1379</v>
      </c>
      <c r="K218" s="11" t="str">
        <f aca="false">CONCATENATE("https://d-nb.info/gnd/",J218)</f>
        <v>https://d-nb.info/gnd/4014355-7</v>
      </c>
      <c r="L218" s="11" t="n">
        <v>300266573</v>
      </c>
      <c r="M218" s="11" t="str">
        <f aca="false">CONCATENATE("https://vocab.getty.edu/aat/",L218)</f>
        <v>https://vocab.getty.edu/aat/300266573</v>
      </c>
      <c r="N218" s="11"/>
      <c r="O218" s="11"/>
      <c r="P218" s="9" t="s">
        <v>1386</v>
      </c>
      <c r="Q218" s="9" t="s">
        <v>1387</v>
      </c>
    </row>
    <row r="219" customFormat="false" ht="15" hidden="false" customHeight="false" outlineLevel="0" collapsed="false">
      <c r="A219" s="28" t="s">
        <v>1388</v>
      </c>
      <c r="B219" s="2" t="n">
        <v>202</v>
      </c>
      <c r="C219" s="18" t="n">
        <v>197</v>
      </c>
      <c r="D219" s="9" t="s">
        <v>1389</v>
      </c>
      <c r="E219" s="11"/>
      <c r="F219" s="9" t="s">
        <v>1390</v>
      </c>
      <c r="G219" s="11"/>
      <c r="H219" s="9" t="s">
        <v>1391</v>
      </c>
      <c r="I219" s="11" t="str">
        <f aca="false">CONCATENATE("http://www.wikidata.org/entity/",H219)</f>
        <v>http://www.wikidata.org/entity/Q123561525</v>
      </c>
      <c r="J219" s="9" t="s">
        <v>1392</v>
      </c>
      <c r="K219" s="11" t="str">
        <f aca="false">CONCATENATE("https://d-nb.info/gnd/",J219)</f>
        <v>https://d-nb.info/gnd/4398225-6</v>
      </c>
      <c r="L219" s="11"/>
      <c r="M219" s="11"/>
      <c r="N219" s="11"/>
      <c r="O219" s="11"/>
      <c r="P219" s="9" t="s">
        <v>1393</v>
      </c>
      <c r="Q219" s="9" t="s">
        <v>1394</v>
      </c>
    </row>
    <row r="220" customFormat="false" ht="15" hidden="false" customHeight="false" outlineLevel="0" collapsed="false">
      <c r="A220" s="28" t="s">
        <v>1395</v>
      </c>
      <c r="B220" s="2" t="n">
        <v>203</v>
      </c>
      <c r="C220" s="18" t="n">
        <v>197</v>
      </c>
      <c r="D220" s="9" t="s">
        <v>1396</v>
      </c>
      <c r="E220" s="11"/>
      <c r="F220" s="9" t="s">
        <v>1396</v>
      </c>
      <c r="G220" s="9" t="s">
        <v>1397</v>
      </c>
      <c r="H220" s="9" t="s">
        <v>1398</v>
      </c>
      <c r="I220" s="11" t="str">
        <f aca="false">CONCATENATE("http://www.wikidata.org/entity/",H220)</f>
        <v>http://www.wikidata.org/entity/Q235858</v>
      </c>
      <c r="J220" s="9" t="s">
        <v>1399</v>
      </c>
      <c r="K220" s="11" t="str">
        <f aca="false">CONCATENATE("https://d-nb.info/gnd/",J220)</f>
        <v>https://d-nb.info/gnd/4063854-6</v>
      </c>
      <c r="L220" s="11" t="n">
        <v>300417626</v>
      </c>
      <c r="M220" s="11" t="str">
        <f aca="false">CONCATENATE("https://vocab.getty.edu/aat/",L220)</f>
        <v>https://vocab.getty.edu/aat/300417626</v>
      </c>
      <c r="N220" s="11"/>
      <c r="O220" s="11"/>
      <c r="P220" s="9" t="s">
        <v>1400</v>
      </c>
      <c r="Q220" s="9" t="s">
        <v>1401</v>
      </c>
    </row>
    <row r="221" customFormat="false" ht="15" hidden="false" customHeight="false" outlineLevel="0" collapsed="false">
      <c r="A221" s="28" t="s">
        <v>1402</v>
      </c>
      <c r="B221" s="2" t="n">
        <v>204</v>
      </c>
      <c r="C221" s="18" t="n">
        <v>197</v>
      </c>
      <c r="D221" s="9" t="s">
        <v>1403</v>
      </c>
      <c r="E221" s="11"/>
      <c r="F221" s="9" t="s">
        <v>1404</v>
      </c>
      <c r="G221" s="9" t="s">
        <v>1405</v>
      </c>
      <c r="H221" s="9" t="s">
        <v>1406</v>
      </c>
      <c r="I221" s="11" t="str">
        <f aca="false">CONCATENATE("http://www.wikidata.org/entity/",H221)</f>
        <v>http://www.wikidata.org/entity/Q1065742</v>
      </c>
      <c r="J221" s="9" t="s">
        <v>1407</v>
      </c>
      <c r="K221" s="11" t="str">
        <f aca="false">CONCATENATE("https://d-nb.info/gnd/",J221)</f>
        <v>https://d-nb.info/gnd/4126228-1</v>
      </c>
      <c r="L221" s="11"/>
      <c r="M221" s="11"/>
      <c r="N221" s="11"/>
      <c r="O221" s="11"/>
      <c r="P221" s="9" t="s">
        <v>1408</v>
      </c>
      <c r="Q221" s="9" t="s">
        <v>1409</v>
      </c>
    </row>
    <row r="222" customFormat="false" ht="15" hidden="false" customHeight="false" outlineLevel="0" collapsed="false">
      <c r="A222" s="28" t="s">
        <v>1410</v>
      </c>
      <c r="B222" s="2" t="n">
        <v>205</v>
      </c>
      <c r="C222" s="18" t="n">
        <v>197</v>
      </c>
      <c r="D222" s="9" t="s">
        <v>1411</v>
      </c>
      <c r="E222" s="11"/>
      <c r="F222" s="9" t="s">
        <v>1412</v>
      </c>
      <c r="G222" s="11"/>
      <c r="H222" s="9" t="s">
        <v>1413</v>
      </c>
      <c r="I222" s="11" t="str">
        <f aca="false">CONCATENATE("http://www.wikidata.org/entity/",H222)</f>
        <v>http://www.wikidata.org/entity/Q639197</v>
      </c>
      <c r="J222" s="9" t="s">
        <v>1414</v>
      </c>
      <c r="K222" s="11" t="str">
        <f aca="false">CONCATENATE("https://d-nb.info/gnd/",J222)</f>
        <v>https://d-nb.info/gnd/4129951-6</v>
      </c>
      <c r="L222" s="11"/>
      <c r="M222" s="11"/>
      <c r="N222" s="11"/>
      <c r="O222" s="11"/>
      <c r="P222" s="9" t="s">
        <v>1415</v>
      </c>
      <c r="Q222" s="9" t="s">
        <v>1416</v>
      </c>
    </row>
    <row r="223" customFormat="false" ht="15" hidden="false" customHeight="false" outlineLevel="0" collapsed="false">
      <c r="A223" s="28" t="s">
        <v>1417</v>
      </c>
      <c r="B223" s="2" t="n">
        <v>206</v>
      </c>
      <c r="C223" s="18" t="n">
        <v>197</v>
      </c>
      <c r="D223" s="9" t="s">
        <v>1418</v>
      </c>
      <c r="E223" s="11"/>
      <c r="F223" s="9" t="s">
        <v>1418</v>
      </c>
      <c r="G223" s="9" t="s">
        <v>1419</v>
      </c>
      <c r="H223" s="9" t="s">
        <v>1420</v>
      </c>
      <c r="I223" s="11" t="str">
        <f aca="false">CONCATENATE("http://www.wikidata.org/entity/",H223)</f>
        <v>http://www.wikidata.org/entity/Q8341</v>
      </c>
      <c r="J223" s="9" t="s">
        <v>1421</v>
      </c>
      <c r="K223" s="11" t="str">
        <f aca="false">CONCATENATE("https://d-nb.info/gnd/",J223)</f>
        <v>https://d-nb.info/gnd/4028532-7</v>
      </c>
      <c r="L223" s="11" t="n">
        <v>300266367</v>
      </c>
      <c r="M223" s="11" t="str">
        <f aca="false">CONCATENATE("https://vocab.getty.edu/aat/",L223)</f>
        <v>https://vocab.getty.edu/aat/300266367</v>
      </c>
      <c r="N223" s="11"/>
      <c r="O223" s="11"/>
      <c r="P223" s="9" t="s">
        <v>1422</v>
      </c>
      <c r="Q223" s="9" t="s">
        <v>1423</v>
      </c>
    </row>
    <row r="224" customFormat="false" ht="15" hidden="false" customHeight="false" outlineLevel="0" collapsed="false">
      <c r="A224" s="28" t="s">
        <v>1424</v>
      </c>
      <c r="B224" s="2" t="n">
        <v>207</v>
      </c>
      <c r="C224" s="18" t="n">
        <v>206</v>
      </c>
      <c r="D224" s="9" t="s">
        <v>1425</v>
      </c>
      <c r="E224" s="9" t="s">
        <v>1426</v>
      </c>
      <c r="F224" s="9" t="s">
        <v>1425</v>
      </c>
      <c r="G224" s="11"/>
      <c r="H224" s="9" t="s">
        <v>1427</v>
      </c>
      <c r="I224" s="11" t="str">
        <f aca="false">CONCATENATE("http://www.wikidata.org/entity/",H224)</f>
        <v>http://www.wikidata.org/entity/Q221772</v>
      </c>
      <c r="J224" s="9" t="s">
        <v>1428</v>
      </c>
      <c r="K224" s="11" t="str">
        <f aca="false">CONCATENATE("https://d-nb.info/gnd/",J224)</f>
        <v>https://d-nb.info/gnd/4363822-3</v>
      </c>
      <c r="L224" s="11"/>
      <c r="M224" s="11"/>
      <c r="N224" s="11"/>
      <c r="O224" s="11"/>
      <c r="P224" s="9" t="s">
        <v>1429</v>
      </c>
      <c r="Q224" s="9" t="s">
        <v>1430</v>
      </c>
    </row>
    <row r="225" customFormat="false" ht="15" hidden="false" customHeight="false" outlineLevel="0" collapsed="false">
      <c r="A225" s="28" t="s">
        <v>1431</v>
      </c>
      <c r="B225" s="2" t="n">
        <v>208</v>
      </c>
      <c r="C225" s="18" t="n">
        <v>206</v>
      </c>
      <c r="D225" s="9" t="s">
        <v>1432</v>
      </c>
      <c r="E225" s="11"/>
      <c r="F225" s="9" t="s">
        <v>1432</v>
      </c>
      <c r="G225" s="11"/>
      <c r="H225" s="9" t="s">
        <v>1433</v>
      </c>
      <c r="I225" s="11" t="str">
        <f aca="false">CONCATENATE("http://www.wikidata.org/entity/",H225)</f>
        <v>http://www.wikidata.org/entity/Q3163340</v>
      </c>
      <c r="J225" s="9" t="s">
        <v>1434</v>
      </c>
      <c r="K225" s="11" t="str">
        <f aca="false">CONCATENATE("https://d-nb.info/gnd/",J225)</f>
        <v>https://d-nb.info/gnd/4363925-2</v>
      </c>
      <c r="L225" s="11"/>
      <c r="M225" s="11"/>
      <c r="N225" s="11"/>
      <c r="O225" s="11"/>
      <c r="P225" s="9" t="s">
        <v>1435</v>
      </c>
      <c r="Q225" s="9" t="s">
        <v>1436</v>
      </c>
    </row>
    <row r="226" customFormat="false" ht="15" hidden="false" customHeight="false" outlineLevel="0" collapsed="false">
      <c r="A226" s="28" t="s">
        <v>1437</v>
      </c>
      <c r="B226" s="2" t="n">
        <v>209</v>
      </c>
      <c r="C226" s="18" t="n">
        <v>206</v>
      </c>
      <c r="D226" s="9" t="s">
        <v>1438</v>
      </c>
      <c r="E226" s="11"/>
      <c r="F226" s="9" t="s">
        <v>1439</v>
      </c>
      <c r="G226" s="11"/>
      <c r="H226" s="9" t="s">
        <v>1440</v>
      </c>
      <c r="I226" s="11" t="str">
        <f aca="false">CONCATENATE("http://www.wikidata.org/entity/",H226)</f>
        <v>http://www.wikidata.org/entity/Q790188</v>
      </c>
      <c r="J226" s="11"/>
      <c r="K226" s="11"/>
      <c r="L226" s="11"/>
      <c r="M226" s="11"/>
      <c r="N226" s="11"/>
      <c r="O226" s="11"/>
      <c r="P226" s="9" t="s">
        <v>1441</v>
      </c>
      <c r="Q226" s="9" t="s">
        <v>1442</v>
      </c>
    </row>
    <row r="227" customFormat="false" ht="15" hidden="false" customHeight="false" outlineLevel="0" collapsed="false">
      <c r="A227" s="28" t="s">
        <v>1443</v>
      </c>
      <c r="B227" s="2" t="n">
        <v>210</v>
      </c>
      <c r="C227" s="18" t="n">
        <v>206</v>
      </c>
      <c r="D227" s="9" t="s">
        <v>1444</v>
      </c>
      <c r="E227" s="11"/>
      <c r="F227" s="9" t="s">
        <v>1444</v>
      </c>
      <c r="G227" s="11"/>
      <c r="H227" s="9" t="s">
        <v>1445</v>
      </c>
      <c r="I227" s="11" t="str">
        <f aca="false">CONCATENATE("http://www.wikidata.org/entity/",H227)</f>
        <v>http://www.wikidata.org/entity/Q105513</v>
      </c>
      <c r="J227" s="9" t="s">
        <v>1446</v>
      </c>
      <c r="K227" s="11" t="str">
        <f aca="false">CONCATENATE("https://d-nb.info/gnd/",J227)</f>
        <v>https://d-nb.info/gnd/4144242-8</v>
      </c>
      <c r="L227" s="11"/>
      <c r="M227" s="11"/>
      <c r="N227" s="11"/>
      <c r="O227" s="11"/>
      <c r="P227" s="9" t="s">
        <v>1447</v>
      </c>
      <c r="Q227" s="9" t="s">
        <v>1448</v>
      </c>
    </row>
    <row r="228" customFormat="false" ht="15" hidden="false" customHeight="false" outlineLevel="0" collapsed="false">
      <c r="A228" s="28" t="s">
        <v>1449</v>
      </c>
      <c r="B228" s="2" t="n">
        <v>211</v>
      </c>
      <c r="C228" s="18" t="n">
        <v>206</v>
      </c>
      <c r="D228" s="9" t="s">
        <v>1450</v>
      </c>
      <c r="E228" s="11"/>
      <c r="F228" s="9" t="s">
        <v>1451</v>
      </c>
      <c r="G228" s="11"/>
      <c r="H228" s="9" t="s">
        <v>1452</v>
      </c>
      <c r="I228" s="11" t="str">
        <f aca="false">CONCATENATE("http://www.wikidata.org/entity/",H228)</f>
        <v>http://www.wikidata.org/entity/Q105756581</v>
      </c>
      <c r="J228" s="11"/>
      <c r="K228" s="11"/>
      <c r="L228" s="11"/>
      <c r="M228" s="11"/>
      <c r="N228" s="11"/>
      <c r="O228" s="11"/>
      <c r="P228" s="9" t="s">
        <v>1453</v>
      </c>
      <c r="Q228" s="9" t="s">
        <v>1454</v>
      </c>
    </row>
    <row r="229" customFormat="false" ht="15" hidden="false" customHeight="false" outlineLevel="0" collapsed="false">
      <c r="A229" s="28" t="s">
        <v>1455</v>
      </c>
      <c r="B229" s="2" t="n">
        <v>212</v>
      </c>
      <c r="C229" s="18" t="n">
        <v>206</v>
      </c>
      <c r="D229" s="9" t="s">
        <v>1456</v>
      </c>
      <c r="E229" s="11"/>
      <c r="F229" s="9" t="s">
        <v>1456</v>
      </c>
      <c r="G229" s="11"/>
      <c r="H229" s="9" t="s">
        <v>1457</v>
      </c>
      <c r="I229" s="11" t="str">
        <f aca="false">CONCATENATE("http://www.wikidata.org/entity/",H229)</f>
        <v>http://www.wikidata.org/entity/Q212952</v>
      </c>
      <c r="J229" s="9" t="s">
        <v>1458</v>
      </c>
      <c r="K229" s="11" t="str">
        <f aca="false">CONCATENATE("https://d-nb.info/gnd/",J229)</f>
        <v>https://d-nb.info/gnd/4241046-0</v>
      </c>
      <c r="L229" s="11"/>
      <c r="M229" s="11"/>
      <c r="N229" s="11"/>
      <c r="O229" s="11"/>
      <c r="P229" s="9" t="s">
        <v>1459</v>
      </c>
      <c r="Q229" s="9" t="s">
        <v>1460</v>
      </c>
    </row>
    <row r="230" customFormat="false" ht="15" hidden="false" customHeight="false" outlineLevel="0" collapsed="false">
      <c r="A230" s="28" t="s">
        <v>1461</v>
      </c>
      <c r="B230" s="2" t="n">
        <v>213</v>
      </c>
      <c r="C230" s="18" t="n">
        <v>206</v>
      </c>
      <c r="D230" s="9" t="s">
        <v>1462</v>
      </c>
      <c r="E230" s="11"/>
      <c r="F230" s="9" t="s">
        <v>1462</v>
      </c>
      <c r="G230" s="11"/>
      <c r="H230" s="9" t="s">
        <v>1463</v>
      </c>
      <c r="I230" s="11" t="str">
        <f aca="false">CONCATENATE("http://www.wikidata.org/entity/",H230)</f>
        <v>http://www.wikidata.org/entity/Q352235</v>
      </c>
      <c r="J230" s="11"/>
      <c r="K230" s="11"/>
      <c r="L230" s="11"/>
      <c r="M230" s="11"/>
      <c r="N230" s="11"/>
      <c r="O230" s="11"/>
      <c r="P230" s="9" t="s">
        <v>1464</v>
      </c>
      <c r="Q230" s="9" t="s">
        <v>1465</v>
      </c>
    </row>
    <row r="231" customFormat="false" ht="15" hidden="false" customHeight="false" outlineLevel="0" collapsed="false">
      <c r="A231" s="28" t="s">
        <v>1466</v>
      </c>
      <c r="B231" s="2" t="n">
        <v>214</v>
      </c>
      <c r="C231" s="18" t="n">
        <v>206</v>
      </c>
      <c r="D231" s="9" t="s">
        <v>1467</v>
      </c>
      <c r="E231" s="11"/>
      <c r="F231" s="9" t="s">
        <v>1467</v>
      </c>
      <c r="G231" s="11"/>
      <c r="H231" s="9" t="s">
        <v>1468</v>
      </c>
      <c r="I231" s="11" t="str">
        <f aca="false">CONCATENATE("http://www.wikidata.org/entity/",H231)</f>
        <v>http://www.wikidata.org/entity/Q5928480</v>
      </c>
      <c r="J231" s="11"/>
      <c r="K231" s="11"/>
      <c r="L231" s="11"/>
      <c r="M231" s="11"/>
      <c r="N231" s="11"/>
      <c r="O231" s="11"/>
      <c r="P231" s="9" t="s">
        <v>1469</v>
      </c>
      <c r="Q231" s="9" t="s">
        <v>1470</v>
      </c>
    </row>
    <row r="232" customFormat="false" ht="15" hidden="false" customHeight="false" outlineLevel="0" collapsed="false">
      <c r="A232" s="28" t="s">
        <v>1471</v>
      </c>
      <c r="B232" s="2" t="n">
        <v>215</v>
      </c>
      <c r="C232" s="18" t="n">
        <v>206</v>
      </c>
      <c r="D232" s="9" t="s">
        <v>1472</v>
      </c>
      <c r="E232" s="11"/>
      <c r="F232" s="9" t="s">
        <v>1472</v>
      </c>
      <c r="G232" s="11"/>
      <c r="H232" s="9" t="s">
        <v>1473</v>
      </c>
      <c r="I232" s="11" t="str">
        <f aca="false">CONCATENATE("http://www.wikidata.org/entity/",H232)</f>
        <v>http://www.wikidata.org/entity/Q327547</v>
      </c>
      <c r="J232" s="9" t="s">
        <v>1474</v>
      </c>
      <c r="K232" s="11" t="str">
        <f aca="false">CONCATENATE("https://d-nb.info/gnd/",J232)</f>
        <v>https://d-nb.info/gnd/4148303-0</v>
      </c>
      <c r="L232" s="11"/>
      <c r="M232" s="11"/>
      <c r="N232" s="11"/>
      <c r="O232" s="11"/>
      <c r="P232" s="9" t="s">
        <v>1475</v>
      </c>
      <c r="Q232" s="9" t="s">
        <v>1476</v>
      </c>
    </row>
    <row r="233" customFormat="false" ht="15" hidden="false" customHeight="false" outlineLevel="0" collapsed="false">
      <c r="A233" s="28" t="s">
        <v>1477</v>
      </c>
      <c r="B233" s="2" t="n">
        <v>216</v>
      </c>
      <c r="C233" s="18" t="n">
        <v>206</v>
      </c>
      <c r="D233" s="9" t="s">
        <v>1478</v>
      </c>
      <c r="E233" s="11"/>
      <c r="F233" s="9" t="s">
        <v>1478</v>
      </c>
      <c r="G233" s="11"/>
      <c r="H233" s="9" t="s">
        <v>1479</v>
      </c>
      <c r="I233" s="11" t="str">
        <f aca="false">CONCATENATE("http://www.wikidata.org/entity/",H233)</f>
        <v>http://www.wikidata.org/entity/Q846833</v>
      </c>
      <c r="J233" s="11"/>
      <c r="K233" s="11"/>
      <c r="L233" s="11"/>
      <c r="M233" s="11"/>
      <c r="N233" s="11"/>
      <c r="O233" s="11"/>
      <c r="P233" s="9" t="s">
        <v>1480</v>
      </c>
      <c r="Q233" s="9" t="s">
        <v>1481</v>
      </c>
    </row>
    <row r="234" customFormat="false" ht="15" hidden="false" customHeight="false" outlineLevel="0" collapsed="false">
      <c r="A234" s="28" t="s">
        <v>1482</v>
      </c>
      <c r="B234" s="2" t="n">
        <v>217</v>
      </c>
      <c r="C234" s="18" t="n">
        <v>206</v>
      </c>
      <c r="D234" s="9" t="s">
        <v>1483</v>
      </c>
      <c r="E234" s="11"/>
      <c r="F234" s="9" t="s">
        <v>1483</v>
      </c>
      <c r="G234" s="11"/>
      <c r="H234" s="9" t="s">
        <v>1484</v>
      </c>
      <c r="I234" s="11" t="str">
        <f aca="false">CONCATENATE("http://www.wikidata.org/entity/",H234)</f>
        <v>http://www.wikidata.org/entity/Q906647</v>
      </c>
      <c r="J234" s="9" t="s">
        <v>1485</v>
      </c>
      <c r="K234" s="11" t="str">
        <f aca="false">CONCATENATE("https://d-nb.info/gnd/",J234)</f>
        <v>https://d-nb.info/gnd/4150329-6</v>
      </c>
      <c r="L234" s="11"/>
      <c r="M234" s="11"/>
      <c r="N234" s="11"/>
      <c r="O234" s="11"/>
      <c r="P234" s="9" t="s">
        <v>1486</v>
      </c>
      <c r="Q234" s="9" t="s">
        <v>1487</v>
      </c>
    </row>
    <row r="235" customFormat="false" ht="15" hidden="false" customHeight="false" outlineLevel="0" collapsed="false">
      <c r="A235" s="28" t="s">
        <v>1488</v>
      </c>
      <c r="B235" s="2" t="n">
        <v>218</v>
      </c>
      <c r="C235" s="18" t="n">
        <v>206</v>
      </c>
      <c r="D235" s="9" t="s">
        <v>1489</v>
      </c>
      <c r="E235" s="11"/>
      <c r="F235" s="9" t="s">
        <v>1489</v>
      </c>
      <c r="G235" s="9" t="s">
        <v>1490</v>
      </c>
      <c r="H235" s="9" t="s">
        <v>1491</v>
      </c>
      <c r="I235" s="11" t="str">
        <f aca="false">CONCATENATE("http://www.wikidata.org/entity/",H235)</f>
        <v>http://www.wikidata.org/entity/Q11696000</v>
      </c>
      <c r="J235" s="11"/>
      <c r="K235" s="11"/>
      <c r="L235" s="11"/>
      <c r="M235" s="11"/>
      <c r="N235" s="11"/>
      <c r="O235" s="11"/>
      <c r="P235" s="9" t="s">
        <v>1492</v>
      </c>
      <c r="Q235" s="9" t="s">
        <v>1493</v>
      </c>
    </row>
    <row r="236" customFormat="false" ht="15" hidden="false" customHeight="false" outlineLevel="0" collapsed="false">
      <c r="A236" s="28" t="s">
        <v>1494</v>
      </c>
      <c r="B236" s="2" t="n">
        <v>219</v>
      </c>
      <c r="C236" s="18" t="n">
        <v>206</v>
      </c>
      <c r="D236" s="9" t="s">
        <v>1495</v>
      </c>
      <c r="E236" s="11"/>
      <c r="F236" s="9" t="s">
        <v>1496</v>
      </c>
      <c r="G236" s="11"/>
      <c r="H236" s="9" t="s">
        <v>1497</v>
      </c>
      <c r="I236" s="11" t="str">
        <f aca="false">CONCATENATE("http://www.wikidata.org/entity/",H236)</f>
        <v>http://www.wikidata.org/entity/Q1371364</v>
      </c>
      <c r="J236" s="11"/>
      <c r="K236" s="11"/>
      <c r="L236" s="11"/>
      <c r="M236" s="11"/>
      <c r="N236" s="11"/>
      <c r="O236" s="11"/>
      <c r="P236" s="9" t="s">
        <v>1498</v>
      </c>
      <c r="Q236" s="9" t="s">
        <v>1499</v>
      </c>
    </row>
    <row r="237" customFormat="false" ht="15" hidden="false" customHeight="false" outlineLevel="0" collapsed="false">
      <c r="A237" s="28" t="s">
        <v>1500</v>
      </c>
      <c r="B237" s="2" t="n">
        <v>220</v>
      </c>
      <c r="C237" s="18" t="n">
        <v>206</v>
      </c>
      <c r="D237" s="9" t="s">
        <v>1501</v>
      </c>
      <c r="E237" s="11"/>
      <c r="F237" s="9" t="s">
        <v>1501</v>
      </c>
      <c r="G237" s="11"/>
      <c r="H237" s="9" t="s">
        <v>1502</v>
      </c>
      <c r="I237" s="11" t="str">
        <f aca="false">CONCATENATE("http://www.wikidata.org/entity/",H237)</f>
        <v>http://www.wikidata.org/entity/Q211781</v>
      </c>
      <c r="J237" s="9" t="s">
        <v>1503</v>
      </c>
      <c r="K237" s="11" t="str">
        <f aca="false">CONCATENATE("https://d-nb.info/gnd/",J237)</f>
        <v>https://d-nb.info/gnd/4155265-9</v>
      </c>
      <c r="L237" s="11"/>
      <c r="M237" s="11"/>
      <c r="N237" s="11"/>
      <c r="O237" s="11"/>
      <c r="P237" s="9" t="s">
        <v>1504</v>
      </c>
      <c r="Q237" s="9" t="s">
        <v>1505</v>
      </c>
    </row>
    <row r="238" customFormat="false" ht="15" hidden="false" customHeight="false" outlineLevel="0" collapsed="false">
      <c r="A238" s="28" t="s">
        <v>1506</v>
      </c>
      <c r="B238" s="2" t="n">
        <v>221</v>
      </c>
      <c r="C238" s="18" t="n">
        <v>206</v>
      </c>
      <c r="D238" s="9" t="s">
        <v>1507</v>
      </c>
      <c r="E238" s="11"/>
      <c r="F238" s="9" t="s">
        <v>1507</v>
      </c>
      <c r="G238" s="9" t="s">
        <v>1508</v>
      </c>
      <c r="H238" s="9" t="s">
        <v>1509</v>
      </c>
      <c r="I238" s="11" t="str">
        <f aca="false">CONCATENATE("http://www.wikidata.org/entity/",H238)</f>
        <v>http://www.wikidata.org/entity/Q181010</v>
      </c>
      <c r="J238" s="9" t="s">
        <v>1510</v>
      </c>
      <c r="K238" s="11" t="str">
        <f aca="false">CONCATENATE("https://d-nb.info/gnd/",J238)</f>
        <v>https://d-nb.info/gnd/4299339-8</v>
      </c>
      <c r="L238" s="11"/>
      <c r="M238" s="11"/>
      <c r="N238" s="11"/>
      <c r="O238" s="11"/>
      <c r="P238" s="9" t="s">
        <v>1511</v>
      </c>
      <c r="Q238" s="9" t="s">
        <v>1512</v>
      </c>
    </row>
    <row r="239" customFormat="false" ht="15" hidden="false" customHeight="false" outlineLevel="0" collapsed="false">
      <c r="A239" s="28" t="s">
        <v>1513</v>
      </c>
      <c r="B239" s="2" t="n">
        <v>222</v>
      </c>
      <c r="C239" s="18" t="n">
        <v>206</v>
      </c>
      <c r="D239" s="9" t="s">
        <v>1514</v>
      </c>
      <c r="E239" s="11"/>
      <c r="F239" s="9" t="s">
        <v>1514</v>
      </c>
      <c r="G239" s="11"/>
      <c r="H239" s="9" t="s">
        <v>1515</v>
      </c>
      <c r="I239" s="11" t="str">
        <f aca="false">CONCATENATE("http://www.wikidata.org/entity/",H239)</f>
        <v>http://www.wikidata.org/entity/Q105527</v>
      </c>
      <c r="J239" s="11"/>
      <c r="K239" s="11"/>
      <c r="L239" s="11"/>
      <c r="M239" s="11"/>
      <c r="N239" s="11"/>
      <c r="O239" s="11"/>
      <c r="P239" s="9" t="s">
        <v>1516</v>
      </c>
      <c r="Q239" s="9" t="s">
        <v>1517</v>
      </c>
    </row>
    <row r="240" customFormat="false" ht="15" hidden="false" customHeight="false" outlineLevel="0" collapsed="false">
      <c r="A240" s="28" t="s">
        <v>1518</v>
      </c>
      <c r="B240" s="2" t="n">
        <v>223</v>
      </c>
      <c r="C240" s="18" t="n">
        <v>206</v>
      </c>
      <c r="D240" s="9" t="s">
        <v>1519</v>
      </c>
      <c r="E240" s="11"/>
      <c r="F240" s="9" t="s">
        <v>1519</v>
      </c>
      <c r="G240" s="9" t="s">
        <v>1520</v>
      </c>
      <c r="H240" s="9" t="s">
        <v>1521</v>
      </c>
      <c r="I240" s="11" t="str">
        <f aca="false">CONCATENATE("http://www.wikidata.org/entity/",H240)</f>
        <v>http://www.wikidata.org/entity/Q1982426</v>
      </c>
      <c r="J240" s="9" t="s">
        <v>1522</v>
      </c>
      <c r="K240" s="11" t="str">
        <f aca="false">CONCATENATE("https://d-nb.info/gnd/",J240)</f>
        <v>https://d-nb.info/gnd/4171691-7</v>
      </c>
      <c r="L240" s="11"/>
      <c r="M240" s="11"/>
      <c r="N240" s="11"/>
      <c r="O240" s="11"/>
      <c r="P240" s="9" t="s">
        <v>1523</v>
      </c>
      <c r="Q240" s="9" t="s">
        <v>1524</v>
      </c>
    </row>
    <row r="241" customFormat="false" ht="15" hidden="false" customHeight="false" outlineLevel="0" collapsed="false">
      <c r="A241" s="28" t="s">
        <v>1525</v>
      </c>
      <c r="B241" s="2" t="n">
        <v>224</v>
      </c>
      <c r="C241" s="18" t="n">
        <v>206</v>
      </c>
      <c r="D241" s="9" t="s">
        <v>1526</v>
      </c>
      <c r="E241" s="11"/>
      <c r="F241" s="9" t="s">
        <v>1526</v>
      </c>
      <c r="G241" s="11"/>
      <c r="H241" s="9" t="s">
        <v>1527</v>
      </c>
      <c r="I241" s="11" t="str">
        <f aca="false">CONCATENATE("http://www.wikidata.org/entity/",H241)</f>
        <v>http://www.wikidata.org/entity/Q105627377</v>
      </c>
      <c r="J241" s="11"/>
      <c r="K241" s="11"/>
      <c r="L241" s="11"/>
      <c r="M241" s="11"/>
      <c r="N241" s="11"/>
      <c r="O241" s="11"/>
      <c r="P241" s="9" t="s">
        <v>1528</v>
      </c>
      <c r="Q241" s="9" t="s">
        <v>1529</v>
      </c>
    </row>
    <row r="242" customFormat="false" ht="15" hidden="false" customHeight="false" outlineLevel="0" collapsed="false">
      <c r="A242" s="28" t="s">
        <v>1530</v>
      </c>
      <c r="B242" s="2" t="n">
        <v>225</v>
      </c>
      <c r="C242" s="18" t="n">
        <v>206</v>
      </c>
      <c r="D242" s="9" t="s">
        <v>1531</v>
      </c>
      <c r="E242" s="11"/>
      <c r="F242" s="9" t="s">
        <v>1531</v>
      </c>
      <c r="G242" s="11"/>
      <c r="H242" s="9" t="s">
        <v>1532</v>
      </c>
      <c r="I242" s="11" t="str">
        <f aca="false">CONCATENATE("http://www.wikidata.org/entity/",H242)</f>
        <v>http://www.wikidata.org/entity/Q185652</v>
      </c>
      <c r="J242" s="9" t="s">
        <v>1533</v>
      </c>
      <c r="K242" s="11" t="str">
        <f aca="false">CONCATENATE("https://d-nb.info/gnd/",J242)</f>
        <v>https://d-nb.info/gnd/4176879-6</v>
      </c>
      <c r="L242" s="11"/>
      <c r="M242" s="11"/>
      <c r="N242" s="11"/>
      <c r="O242" s="11"/>
      <c r="P242" s="9" t="s">
        <v>1534</v>
      </c>
      <c r="Q242" s="9" t="s">
        <v>1535</v>
      </c>
    </row>
    <row r="243" customFormat="false" ht="15" hidden="false" customHeight="false" outlineLevel="0" collapsed="false">
      <c r="A243" s="28" t="s">
        <v>1536</v>
      </c>
      <c r="B243" s="2" t="n">
        <v>226</v>
      </c>
      <c r="C243" s="18" t="n">
        <v>206</v>
      </c>
      <c r="D243" s="9" t="s">
        <v>1537</v>
      </c>
      <c r="E243" s="11"/>
      <c r="F243" s="9" t="s">
        <v>1537</v>
      </c>
      <c r="G243" s="11"/>
      <c r="H243" s="9" t="s">
        <v>1538</v>
      </c>
      <c r="I243" s="11" t="str">
        <f aca="false">CONCATENATE("http://www.wikidata.org/entity/",H243)</f>
        <v>http://www.wikidata.org/entity/Q831354</v>
      </c>
      <c r="J243" s="11"/>
      <c r="K243" s="11"/>
      <c r="L243" s="11"/>
      <c r="M243" s="11"/>
      <c r="N243" s="11"/>
      <c r="O243" s="11"/>
      <c r="P243" s="9" t="s">
        <v>1539</v>
      </c>
      <c r="Q243" s="9" t="s">
        <v>1540</v>
      </c>
    </row>
    <row r="244" customFormat="false" ht="15" hidden="false" customHeight="false" outlineLevel="0" collapsed="false">
      <c r="A244" s="28" t="s">
        <v>1541</v>
      </c>
      <c r="B244" s="2" t="n">
        <v>227</v>
      </c>
      <c r="C244" s="18" t="n">
        <v>206</v>
      </c>
      <c r="D244" s="9" t="s">
        <v>1542</v>
      </c>
      <c r="E244" s="11"/>
      <c r="F244" s="9" t="s">
        <v>1542</v>
      </c>
      <c r="G244" s="11"/>
      <c r="H244" s="9" t="s">
        <v>1543</v>
      </c>
      <c r="I244" s="11" t="str">
        <f aca="false">CONCATENATE("http://www.wikidata.org/entity/",H244)</f>
        <v>http://www.wikidata.org/entity/Q203775</v>
      </c>
      <c r="J244" s="9" t="s">
        <v>1544</v>
      </c>
      <c r="K244" s="11" t="str">
        <f aca="false">CONCATENATE("https://d-nb.info/gnd/",J244)</f>
        <v>https://d-nb.info/gnd/4153450-5</v>
      </c>
      <c r="L244" s="11"/>
      <c r="M244" s="11"/>
      <c r="N244" s="11"/>
      <c r="O244" s="11"/>
      <c r="P244" s="9" t="s">
        <v>1545</v>
      </c>
      <c r="Q244" s="9" t="s">
        <v>1546</v>
      </c>
    </row>
    <row r="245" customFormat="false" ht="15" hidden="false" customHeight="false" outlineLevel="0" collapsed="false">
      <c r="A245" s="28" t="s">
        <v>1547</v>
      </c>
      <c r="B245" s="2" t="n">
        <v>228</v>
      </c>
      <c r="C245" s="18" t="n">
        <v>206</v>
      </c>
      <c r="D245" s="9" t="s">
        <v>1548</v>
      </c>
      <c r="E245" s="11"/>
      <c r="F245" s="9" t="s">
        <v>1548</v>
      </c>
      <c r="G245" s="9" t="s">
        <v>1549</v>
      </c>
      <c r="H245" s="9" t="s">
        <v>1550</v>
      </c>
      <c r="I245" s="11" t="str">
        <f aca="false">CONCATENATE("http://www.wikidata.org/entity/",H245)</f>
        <v>http://www.wikidata.org/entity/Q1548603</v>
      </c>
      <c r="J245" s="9" t="s">
        <v>1551</v>
      </c>
      <c r="K245" s="11" t="str">
        <f aca="false">CONCATENATE("https://d-nb.info/gnd/",J245)</f>
        <v>https://d-nb.info/gnd/4304602-2</v>
      </c>
      <c r="L245" s="11"/>
      <c r="M245" s="11"/>
      <c r="N245" s="11"/>
      <c r="O245" s="11"/>
      <c r="P245" s="9" t="s">
        <v>1552</v>
      </c>
      <c r="Q245" s="9" t="s">
        <v>1553</v>
      </c>
    </row>
    <row r="246" customFormat="false" ht="15" hidden="false" customHeight="false" outlineLevel="0" collapsed="false">
      <c r="A246" s="28" t="s">
        <v>1554</v>
      </c>
      <c r="B246" s="2" t="n">
        <v>229</v>
      </c>
      <c r="C246" s="18" t="n">
        <v>197</v>
      </c>
      <c r="D246" s="9" t="s">
        <v>1555</v>
      </c>
      <c r="E246" s="11"/>
      <c r="F246" s="9" t="s">
        <v>1556</v>
      </c>
      <c r="G246" s="11"/>
      <c r="H246" s="9" t="s">
        <v>1557</v>
      </c>
      <c r="I246" s="11" t="str">
        <f aca="false">CONCATENATE("http://www.wikidata.org/entity/",H246)</f>
        <v>http://www.wikidata.org/entity/Q9730</v>
      </c>
      <c r="J246" s="9" t="s">
        <v>1558</v>
      </c>
      <c r="K246" s="11" t="str">
        <f aca="false">CONCATENATE("https://d-nb.info/gnd/",J246)</f>
        <v>https://d-nb.info/gnd/4164043-3</v>
      </c>
      <c r="L246" s="11"/>
      <c r="M246" s="11"/>
      <c r="N246" s="11"/>
      <c r="O246" s="11"/>
      <c r="P246" s="9" t="s">
        <v>1559</v>
      </c>
      <c r="Q246" s="9" t="s">
        <v>1560</v>
      </c>
    </row>
    <row r="247" customFormat="false" ht="15" hidden="false" customHeight="false" outlineLevel="0" collapsed="false">
      <c r="A247" s="28" t="s">
        <v>1561</v>
      </c>
      <c r="B247" s="2" t="n">
        <v>230</v>
      </c>
      <c r="C247" s="18" t="n">
        <v>197</v>
      </c>
      <c r="D247" s="9" t="s">
        <v>1562</v>
      </c>
      <c r="E247" s="11"/>
      <c r="F247" s="9" t="s">
        <v>1563</v>
      </c>
      <c r="G247" s="11"/>
      <c r="H247" s="9" t="s">
        <v>1564</v>
      </c>
      <c r="I247" s="11" t="str">
        <f aca="false">CONCATENATE("http://www.wikidata.org/entity/",H247)</f>
        <v>http://www.wikidata.org/entity/Q6774721</v>
      </c>
      <c r="J247" s="9" t="s">
        <v>1565</v>
      </c>
      <c r="K247" s="11" t="str">
        <f aca="false">CONCATENATE("https://d-nb.info/gnd/",J247)</f>
        <v>https://d-nb.info/gnd/4039344-6</v>
      </c>
      <c r="L247" s="11"/>
      <c r="M247" s="11"/>
      <c r="N247" s="11"/>
      <c r="O247" s="11"/>
      <c r="P247" s="9" t="s">
        <v>1566</v>
      </c>
      <c r="Q247" s="9" t="s">
        <v>1567</v>
      </c>
    </row>
    <row r="248" customFormat="false" ht="15" hidden="false" customHeight="false" outlineLevel="0" collapsed="false">
      <c r="A248" s="28" t="s">
        <v>1568</v>
      </c>
      <c r="B248" s="2" t="n">
        <v>231</v>
      </c>
      <c r="C248" s="18" t="n">
        <v>197</v>
      </c>
      <c r="D248" s="9" t="s">
        <v>1569</v>
      </c>
      <c r="E248" s="11"/>
      <c r="F248" s="9" t="s">
        <v>1569</v>
      </c>
      <c r="G248" s="11"/>
      <c r="H248" s="9" t="s">
        <v>1570</v>
      </c>
      <c r="I248" s="11" t="str">
        <f aca="false">CONCATENATE("http://www.wikidata.org/entity/",H248)</f>
        <v>http://www.wikidata.org/entity/Q21662779</v>
      </c>
      <c r="J248" s="9" t="s">
        <v>1571</v>
      </c>
      <c r="K248" s="11" t="str">
        <f aca="false">CONCATENATE("https://d-nb.info/gnd/",J248)</f>
        <v>https://d-nb.info/gnd/4428235-7</v>
      </c>
      <c r="L248" s="11"/>
      <c r="M248" s="11"/>
      <c r="N248" s="11"/>
      <c r="O248" s="11"/>
      <c r="P248" s="9" t="s">
        <v>1572</v>
      </c>
      <c r="Q248" s="9" t="s">
        <v>1573</v>
      </c>
    </row>
    <row r="249" customFormat="false" ht="15" hidden="false" customHeight="false" outlineLevel="0" collapsed="false">
      <c r="A249" s="28" t="s">
        <v>1574</v>
      </c>
      <c r="B249" s="2" t="n">
        <v>232</v>
      </c>
      <c r="C249" s="18" t="n">
        <v>197</v>
      </c>
      <c r="D249" s="9" t="s">
        <v>1575</v>
      </c>
      <c r="E249" s="11"/>
      <c r="F249" s="9" t="s">
        <v>1576</v>
      </c>
      <c r="G249" s="11"/>
      <c r="H249" s="9" t="s">
        <v>1577</v>
      </c>
      <c r="I249" s="11" t="str">
        <f aca="false">CONCATENATE("http://www.wikidata.org/entity/",H249)</f>
        <v>http://www.wikidata.org/entity/Q3328774</v>
      </c>
      <c r="J249" s="9" t="s">
        <v>1578</v>
      </c>
      <c r="K249" s="11" t="str">
        <f aca="false">CONCATENATE("https://d-nb.info/gnd/",J249)</f>
        <v>https://d-nb.info/gnd/4131523-6</v>
      </c>
      <c r="L249" s="11"/>
      <c r="M249" s="11"/>
      <c r="N249" s="11"/>
      <c r="O249" s="11"/>
      <c r="P249" s="9" t="s">
        <v>1579</v>
      </c>
      <c r="Q249" s="9" t="s">
        <v>1580</v>
      </c>
    </row>
    <row r="250" customFormat="false" ht="15" hidden="false" customHeight="false" outlineLevel="0" collapsed="false">
      <c r="A250" s="28" t="s">
        <v>1581</v>
      </c>
      <c r="B250" s="2" t="n">
        <v>233</v>
      </c>
      <c r="C250" s="18" t="n">
        <v>197</v>
      </c>
      <c r="D250" s="9" t="s">
        <v>1582</v>
      </c>
      <c r="E250" s="11"/>
      <c r="F250" s="9" t="s">
        <v>1583</v>
      </c>
      <c r="G250" s="11"/>
      <c r="H250" s="9" t="s">
        <v>1584</v>
      </c>
      <c r="I250" s="11" t="str">
        <f aca="false">CONCATENATE("http://www.wikidata.org/entity/",H250)</f>
        <v>http://www.wikidata.org/entity/Q373342</v>
      </c>
      <c r="J250" s="11"/>
      <c r="K250" s="11"/>
      <c r="L250" s="11"/>
      <c r="M250" s="11"/>
      <c r="N250" s="11"/>
      <c r="O250" s="11"/>
      <c r="P250" s="9" t="s">
        <v>1585</v>
      </c>
      <c r="Q250" s="9" t="s">
        <v>1586</v>
      </c>
    </row>
    <row r="251" customFormat="false" ht="15" hidden="false" customHeight="false" outlineLevel="0" collapsed="false">
      <c r="A251" s="28" t="s">
        <v>1587</v>
      </c>
      <c r="B251" s="2" t="n">
        <v>234</v>
      </c>
      <c r="C251" s="18" t="n">
        <v>233</v>
      </c>
      <c r="D251" s="9" t="s">
        <v>1588</v>
      </c>
      <c r="E251" s="11"/>
      <c r="F251" s="9" t="s">
        <v>1588</v>
      </c>
      <c r="G251" s="11"/>
      <c r="H251" s="9" t="s">
        <v>1589</v>
      </c>
      <c r="I251" s="11" t="str">
        <f aca="false">CONCATENATE("http://www.wikidata.org/entity/",H251)</f>
        <v>http://www.wikidata.org/entity/Q1541229</v>
      </c>
      <c r="J251" s="9" t="s">
        <v>1590</v>
      </c>
      <c r="K251" s="11" t="str">
        <f aca="false">CONCATENATE("https://d-nb.info/gnd/",J251)</f>
        <v>https://d-nb.info/gnd/4137558-0</v>
      </c>
      <c r="L251" s="11"/>
      <c r="M251" s="11"/>
      <c r="N251" s="11"/>
      <c r="O251" s="11"/>
      <c r="P251" s="9" t="s">
        <v>1591</v>
      </c>
      <c r="Q251" s="9" t="s">
        <v>1592</v>
      </c>
    </row>
    <row r="252" customFormat="false" ht="15" hidden="false" customHeight="false" outlineLevel="0" collapsed="false">
      <c r="A252" s="28" t="s">
        <v>1593</v>
      </c>
      <c r="B252" s="2" t="n">
        <v>235</v>
      </c>
      <c r="C252" s="18" t="n">
        <v>233</v>
      </c>
      <c r="D252" s="9" t="s">
        <v>1594</v>
      </c>
      <c r="E252" s="11"/>
      <c r="F252" s="9" t="s">
        <v>1594</v>
      </c>
      <c r="G252" s="9" t="s">
        <v>1595</v>
      </c>
      <c r="H252" s="9" t="s">
        <v>1596</v>
      </c>
      <c r="I252" s="11" t="str">
        <f aca="false">CONCATENATE("http://www.wikidata.org/entity/",H252)</f>
        <v>http://www.wikidata.org/entity/Q546264</v>
      </c>
      <c r="J252" s="9" t="s">
        <v>1597</v>
      </c>
      <c r="K252" s="11" t="str">
        <f aca="false">CONCATENATE("https://d-nb.info/gnd/",J252)</f>
        <v>https://d-nb.info/gnd/4144239-8</v>
      </c>
      <c r="L252" s="11"/>
      <c r="M252" s="11"/>
      <c r="N252" s="11"/>
      <c r="O252" s="11"/>
      <c r="P252" s="9" t="s">
        <v>1598</v>
      </c>
      <c r="Q252" s="9" t="s">
        <v>1599</v>
      </c>
    </row>
    <row r="253" customFormat="false" ht="15" hidden="false" customHeight="false" outlineLevel="0" collapsed="false">
      <c r="A253" s="28" t="s">
        <v>1600</v>
      </c>
      <c r="B253" s="2" t="n">
        <v>236</v>
      </c>
      <c r="C253" s="18" t="n">
        <v>233</v>
      </c>
      <c r="D253" s="9" t="s">
        <v>1601</v>
      </c>
      <c r="E253" s="11"/>
      <c r="F253" s="9" t="s">
        <v>1601</v>
      </c>
      <c r="G253" s="11"/>
      <c r="H253" s="9" t="s">
        <v>1602</v>
      </c>
      <c r="I253" s="11" t="str">
        <f aca="false">CONCATENATE("http://www.wikidata.org/entity/",H253)</f>
        <v>http://www.wikidata.org/entity/Q9759</v>
      </c>
      <c r="J253" s="9" t="s">
        <v>1603</v>
      </c>
      <c r="K253" s="11" t="str">
        <f aca="false">CONCATENATE("https://d-nb.info/gnd/",J253)</f>
        <v>https://d-nb.info/gnd/4132568-0</v>
      </c>
      <c r="L253" s="11"/>
      <c r="M253" s="11"/>
      <c r="N253" s="11"/>
      <c r="O253" s="11"/>
      <c r="P253" s="9" t="s">
        <v>1604</v>
      </c>
      <c r="Q253" s="9" t="s">
        <v>1605</v>
      </c>
    </row>
    <row r="254" customFormat="false" ht="15" hidden="false" customHeight="false" outlineLevel="0" collapsed="false">
      <c r="A254" s="28" t="s">
        <v>1606</v>
      </c>
      <c r="B254" s="2" t="n">
        <v>237</v>
      </c>
      <c r="C254" s="18" t="n">
        <v>233</v>
      </c>
      <c r="D254" s="9" t="s">
        <v>1607</v>
      </c>
      <c r="E254" s="11"/>
      <c r="F254" s="9" t="s">
        <v>1607</v>
      </c>
      <c r="G254" s="11"/>
      <c r="H254" s="9" t="s">
        <v>1608</v>
      </c>
      <c r="I254" s="11" t="str">
        <f aca="false">CONCATENATE("http://www.wikidata.org/entity/",H254)</f>
        <v>http://www.wikidata.org/entity/Q1062400</v>
      </c>
      <c r="J254" s="9" t="s">
        <v>1609</v>
      </c>
      <c r="K254" s="11" t="str">
        <f aca="false">CONCATENATE("https://d-nb.info/gnd/",J254)</f>
        <v>https://d-nb.info/gnd/4009744-4</v>
      </c>
      <c r="L254" s="11"/>
      <c r="M254" s="11"/>
      <c r="N254" s="11"/>
      <c r="O254" s="11"/>
      <c r="P254" s="9" t="s">
        <v>1610</v>
      </c>
      <c r="Q254" s="9" t="s">
        <v>1611</v>
      </c>
    </row>
    <row r="255" customFormat="false" ht="15" hidden="false" customHeight="false" outlineLevel="0" collapsed="false">
      <c r="A255" s="28" t="s">
        <v>1612</v>
      </c>
      <c r="B255" s="2" t="n">
        <v>238</v>
      </c>
      <c r="C255" s="18" t="n">
        <v>233</v>
      </c>
      <c r="D255" s="9" t="s">
        <v>1613</v>
      </c>
      <c r="E255" s="9" t="s">
        <v>1614</v>
      </c>
      <c r="F255" s="9" t="s">
        <v>1613</v>
      </c>
      <c r="G255" s="11"/>
      <c r="H255" s="9" t="s">
        <v>1615</v>
      </c>
      <c r="I255" s="11" t="str">
        <f aca="false">CONCATENATE("http://www.wikidata.org/entity/",H255)</f>
        <v>http://www.wikidata.org/entity/Q83440</v>
      </c>
      <c r="J255" s="9" t="s">
        <v>1616</v>
      </c>
      <c r="K255" s="11" t="str">
        <f aca="false">CONCATENATE("https://d-nb.info/gnd/",J255)</f>
        <v>https://d-nb.info/gnd/4138030-7</v>
      </c>
      <c r="L255" s="11"/>
      <c r="M255" s="11"/>
      <c r="N255" s="11"/>
      <c r="O255" s="11"/>
      <c r="P255" s="9" t="s">
        <v>1617</v>
      </c>
      <c r="Q255" s="9" t="s">
        <v>1618</v>
      </c>
    </row>
    <row r="256" customFormat="false" ht="15" hidden="false" customHeight="false" outlineLevel="0" collapsed="false">
      <c r="A256" s="28" t="s">
        <v>1619</v>
      </c>
      <c r="B256" s="2" t="n">
        <v>239</v>
      </c>
      <c r="C256" s="18" t="n">
        <v>233</v>
      </c>
      <c r="D256" s="9" t="s">
        <v>1620</v>
      </c>
      <c r="E256" s="9" t="s">
        <v>1621</v>
      </c>
      <c r="F256" s="9" t="s">
        <v>1620</v>
      </c>
      <c r="G256" s="11"/>
      <c r="H256" s="9" t="s">
        <v>1622</v>
      </c>
      <c r="I256" s="11" t="str">
        <f aca="false">CONCATENATE("http://www.wikidata.org/entity/",H256)</f>
        <v>http://www.wikidata.org/entity/Q851213</v>
      </c>
      <c r="J256" s="11"/>
      <c r="K256" s="11"/>
      <c r="L256" s="11"/>
      <c r="M256" s="11"/>
      <c r="N256" s="11"/>
      <c r="O256" s="11"/>
      <c r="P256" s="9" t="s">
        <v>1623</v>
      </c>
      <c r="Q256" s="9" t="s">
        <v>1624</v>
      </c>
    </row>
    <row r="257" customFormat="false" ht="15" hidden="false" customHeight="false" outlineLevel="0" collapsed="false">
      <c r="A257" s="28" t="s">
        <v>1625</v>
      </c>
      <c r="B257" s="2" t="n">
        <v>240</v>
      </c>
      <c r="C257" s="18" t="n">
        <v>233</v>
      </c>
      <c r="D257" s="9" t="s">
        <v>1626</v>
      </c>
      <c r="E257" s="11"/>
      <c r="F257" s="9" t="s">
        <v>1626</v>
      </c>
      <c r="G257" s="11"/>
      <c r="H257" s="9" t="s">
        <v>1627</v>
      </c>
      <c r="I257" s="11" t="str">
        <f aca="false">CONCATENATE("http://www.wikidata.org/entity/",H257)</f>
        <v>http://www.wikidata.org/entity/Q11401</v>
      </c>
      <c r="J257" s="9" t="s">
        <v>1628</v>
      </c>
      <c r="K257" s="11" t="str">
        <f aca="false">CONCATENATE("https://d-nb.info/gnd/",J257)</f>
        <v>https://d-nb.info/gnd/4303517-6</v>
      </c>
      <c r="L257" s="11"/>
      <c r="M257" s="11"/>
      <c r="N257" s="11"/>
      <c r="O257" s="11"/>
      <c r="P257" s="9" t="s">
        <v>1629</v>
      </c>
      <c r="Q257" s="9" t="s">
        <v>1630</v>
      </c>
    </row>
    <row r="258" customFormat="false" ht="15" hidden="false" customHeight="false" outlineLevel="0" collapsed="false">
      <c r="A258" s="28" t="s">
        <v>1631</v>
      </c>
      <c r="B258" s="2" t="n">
        <v>241</v>
      </c>
      <c r="C258" s="18" t="n">
        <v>233</v>
      </c>
      <c r="D258" s="9" t="s">
        <v>1632</v>
      </c>
      <c r="E258" s="9" t="s">
        <v>1633</v>
      </c>
      <c r="F258" s="9" t="s">
        <v>1632</v>
      </c>
      <c r="G258" s="11"/>
      <c r="H258" s="9" t="s">
        <v>1634</v>
      </c>
      <c r="I258" s="11" t="str">
        <f aca="false">CONCATENATE("http://www.wikidata.org/entity/",H258)</f>
        <v>http://www.wikidata.org/entity/Q12326776</v>
      </c>
      <c r="J258" s="9" t="s">
        <v>1635</v>
      </c>
      <c r="K258" s="11" t="str">
        <f aca="false">CONCATENATE("https://d-nb.info/gnd/",J258)</f>
        <v>https://d-nb.info/gnd/4284512-9</v>
      </c>
      <c r="L258" s="11"/>
      <c r="M258" s="11"/>
      <c r="N258" s="11"/>
      <c r="O258" s="11"/>
      <c r="P258" s="9" t="s">
        <v>1636</v>
      </c>
      <c r="Q258" s="9" t="s">
        <v>1637</v>
      </c>
    </row>
    <row r="259" customFormat="false" ht="15" hidden="false" customHeight="false" outlineLevel="0" collapsed="false">
      <c r="A259" s="28" t="s">
        <v>1638</v>
      </c>
      <c r="B259" s="2" t="n">
        <v>242</v>
      </c>
      <c r="C259" s="18" t="n">
        <v>233</v>
      </c>
      <c r="D259" s="9" t="s">
        <v>1639</v>
      </c>
      <c r="E259" s="11"/>
      <c r="F259" s="9" t="s">
        <v>1639</v>
      </c>
      <c r="G259" s="11"/>
      <c r="H259" s="9" t="s">
        <v>1640</v>
      </c>
      <c r="I259" s="11" t="str">
        <f aca="false">CONCATENATE("http://www.wikidata.org/entity/",H259)</f>
        <v>http://www.wikidata.org/entity/Q187760</v>
      </c>
      <c r="J259" s="9" t="s">
        <v>1641</v>
      </c>
      <c r="K259" s="11" t="str">
        <f aca="false">CONCATENATE("https://d-nb.info/gnd/",J259)</f>
        <v>https://d-nb.info/gnd/4201741-5</v>
      </c>
      <c r="L259" s="11"/>
      <c r="M259" s="11"/>
      <c r="N259" s="11"/>
      <c r="O259" s="11"/>
      <c r="P259" s="9" t="s">
        <v>1642</v>
      </c>
      <c r="Q259" s="9" t="s">
        <v>1643</v>
      </c>
    </row>
    <row r="260" customFormat="false" ht="15" hidden="false" customHeight="false" outlineLevel="0" collapsed="false">
      <c r="A260" s="28" t="s">
        <v>1644</v>
      </c>
      <c r="B260" s="2" t="n">
        <v>243</v>
      </c>
      <c r="C260" s="18" t="n">
        <v>233</v>
      </c>
      <c r="D260" s="9" t="s">
        <v>1645</v>
      </c>
      <c r="E260" s="11"/>
      <c r="F260" s="9" t="s">
        <v>1645</v>
      </c>
      <c r="G260" s="9" t="s">
        <v>1646</v>
      </c>
      <c r="H260" s="9" t="s">
        <v>1647</v>
      </c>
      <c r="I260" s="11" t="str">
        <f aca="false">CONCATENATE("http://www.wikidata.org/entity/",H260)</f>
        <v>http://www.wikidata.org/entity/Q37073</v>
      </c>
      <c r="J260" s="9" t="s">
        <v>1648</v>
      </c>
      <c r="K260" s="11" t="str">
        <f aca="false">CONCATENATE("https://d-nb.info/gnd/",J260)</f>
        <v>https://d-nb.info/gnd/4046781-8</v>
      </c>
      <c r="L260" s="11"/>
      <c r="M260" s="11"/>
      <c r="N260" s="11"/>
      <c r="O260" s="11"/>
      <c r="P260" s="9" t="s">
        <v>1649</v>
      </c>
      <c r="Q260" s="9" t="s">
        <v>1650</v>
      </c>
    </row>
    <row r="261" customFormat="false" ht="15" hidden="false" customHeight="false" outlineLevel="0" collapsed="false">
      <c r="A261" s="28" t="s">
        <v>1651</v>
      </c>
      <c r="B261" s="2" t="n">
        <v>244</v>
      </c>
      <c r="C261" s="18" t="n">
        <v>233</v>
      </c>
      <c r="D261" s="9" t="s">
        <v>1652</v>
      </c>
      <c r="E261" s="11"/>
      <c r="F261" s="9" t="s">
        <v>1652</v>
      </c>
      <c r="G261" s="11"/>
      <c r="H261" s="9" t="s">
        <v>1653</v>
      </c>
      <c r="I261" s="11" t="str">
        <f aca="false">CONCATENATE("http://www.wikidata.org/entity/",H261)</f>
        <v>http://www.wikidata.org/entity/Q3071</v>
      </c>
      <c r="J261" s="9" t="s">
        <v>1654</v>
      </c>
      <c r="K261" s="11" t="str">
        <f aca="false">CONCATENATE("https://d-nb.info/gnd/",J261)</f>
        <v>https://d-nb.info/gnd/4047851-8</v>
      </c>
      <c r="L261" s="11"/>
      <c r="M261" s="11"/>
      <c r="N261" s="11"/>
      <c r="O261" s="11"/>
      <c r="P261" s="9" t="s">
        <v>1655</v>
      </c>
      <c r="Q261" s="9" t="s">
        <v>1656</v>
      </c>
    </row>
    <row r="262" customFormat="false" ht="15" hidden="false" customHeight="false" outlineLevel="0" collapsed="false">
      <c r="A262" s="28" t="s">
        <v>1657</v>
      </c>
      <c r="B262" s="2" t="n">
        <v>245</v>
      </c>
      <c r="C262" s="18" t="n">
        <v>233</v>
      </c>
      <c r="D262" s="9" t="s">
        <v>1658</v>
      </c>
      <c r="E262" s="9" t="s">
        <v>1659</v>
      </c>
      <c r="F262" s="9" t="s">
        <v>1658</v>
      </c>
      <c r="G262" s="11"/>
      <c r="H262" s="9" t="s">
        <v>1660</v>
      </c>
      <c r="I262" s="11" t="str">
        <f aca="false">CONCATENATE("http://www.wikidata.org/entity/",H262)</f>
        <v>http://www.wikidata.org/entity/Q45981</v>
      </c>
      <c r="J262" s="9" t="s">
        <v>1661</v>
      </c>
      <c r="K262" s="11" t="str">
        <f aca="false">CONCATENATE("https://d-nb.info/gnd/",J262)</f>
        <v>https://d-nb.info/gnd/4178058-9</v>
      </c>
      <c r="L262" s="11" t="n">
        <v>300417961</v>
      </c>
      <c r="M262" s="11" t="str">
        <f aca="false">CONCATENATE("https://vocab.getty.edu/aat/",L262)</f>
        <v>https://vocab.getty.edu/aat/300417961</v>
      </c>
      <c r="N262" s="11"/>
      <c r="O262" s="11"/>
      <c r="P262" s="9" t="s">
        <v>1662</v>
      </c>
      <c r="Q262" s="9" t="s">
        <v>1663</v>
      </c>
    </row>
    <row r="263" customFormat="false" ht="15" hidden="false" customHeight="false" outlineLevel="0" collapsed="false">
      <c r="A263" s="28" t="s">
        <v>1664</v>
      </c>
      <c r="B263" s="2" t="n">
        <v>246</v>
      </c>
      <c r="C263" s="18" t="n">
        <v>233</v>
      </c>
      <c r="D263" s="9" t="s">
        <v>1665</v>
      </c>
      <c r="E263" s="11"/>
      <c r="F263" s="9" t="s">
        <v>1665</v>
      </c>
      <c r="G263" s="11"/>
      <c r="H263" s="9" t="s">
        <v>1666</v>
      </c>
      <c r="I263" s="11" t="str">
        <f aca="false">CONCATENATE("http://www.wikidata.org/entity/",H263)</f>
        <v>http://www.wikidata.org/entity/Q9794</v>
      </c>
      <c r="J263" s="9" t="s">
        <v>1667</v>
      </c>
      <c r="K263" s="11" t="str">
        <f aca="false">CONCATENATE("https://d-nb.info/gnd/",J263)</f>
        <v>https://d-nb.info/gnd/4131018-4</v>
      </c>
      <c r="L263" s="11"/>
      <c r="M263" s="11"/>
      <c r="N263" s="11"/>
      <c r="O263" s="11"/>
      <c r="P263" s="9" t="s">
        <v>1668</v>
      </c>
      <c r="Q263" s="9" t="s">
        <v>1669</v>
      </c>
    </row>
    <row r="264" customFormat="false" ht="15" hidden="false" customHeight="false" outlineLevel="0" collapsed="false">
      <c r="A264" s="28" t="s">
        <v>1670</v>
      </c>
      <c r="B264" s="2" t="n">
        <v>247</v>
      </c>
      <c r="C264" s="18" t="n">
        <v>233</v>
      </c>
      <c r="D264" s="9" t="s">
        <v>1671</v>
      </c>
      <c r="E264" s="11"/>
      <c r="F264" s="9" t="s">
        <v>1671</v>
      </c>
      <c r="G264" s="9" t="s">
        <v>1672</v>
      </c>
      <c r="H264" s="9" t="s">
        <v>1673</v>
      </c>
      <c r="I264" s="11" t="str">
        <f aca="false">CONCATENATE("http://www.wikidata.org/entity/",H264)</f>
        <v>http://www.wikidata.org/entity/Q11399</v>
      </c>
      <c r="J264" s="9" t="s">
        <v>1674</v>
      </c>
      <c r="K264" s="11" t="str">
        <f aca="false">CONCATENATE("https://d-nb.info/gnd/",J264)</f>
        <v>https://d-nb.info/gnd/4115774-6</v>
      </c>
      <c r="L264" s="11"/>
      <c r="M264" s="11"/>
      <c r="N264" s="11"/>
      <c r="O264" s="11"/>
      <c r="P264" s="9" t="s">
        <v>1675</v>
      </c>
      <c r="Q264" s="9" t="s">
        <v>1676</v>
      </c>
    </row>
    <row r="265" customFormat="false" ht="15" hidden="false" customHeight="false" outlineLevel="0" collapsed="false">
      <c r="A265" s="28" t="s">
        <v>1677</v>
      </c>
      <c r="B265" s="2" t="n">
        <v>248</v>
      </c>
      <c r="C265" s="18" t="n">
        <v>233</v>
      </c>
      <c r="D265" s="9" t="s">
        <v>1678</v>
      </c>
      <c r="E265" s="11"/>
      <c r="F265" s="9" t="s">
        <v>1678</v>
      </c>
      <c r="G265" s="11"/>
      <c r="H265" s="9" t="s">
        <v>1679</v>
      </c>
      <c r="I265" s="11" t="str">
        <f aca="false">CONCATENATE("http://www.wikidata.org/entity/",H265)</f>
        <v>http://www.wikidata.org/entity/Q7749</v>
      </c>
      <c r="J265" s="9" t="s">
        <v>1680</v>
      </c>
      <c r="K265" s="11" t="str">
        <f aca="false">CONCATENATE("https://d-nb.info/gnd/",J265)</f>
        <v>https://d-nb.info/gnd/4076762-0</v>
      </c>
      <c r="L265" s="11"/>
      <c r="M265" s="11"/>
      <c r="N265" s="11"/>
      <c r="O265" s="11"/>
      <c r="P265" s="9" t="s">
        <v>1681</v>
      </c>
      <c r="Q265" s="9" t="s">
        <v>1682</v>
      </c>
    </row>
    <row r="266" customFormat="false" ht="15" hidden="false" customHeight="false" outlineLevel="0" collapsed="false">
      <c r="A266" s="28" t="s">
        <v>1683</v>
      </c>
      <c r="B266" s="2" t="n">
        <v>249</v>
      </c>
      <c r="C266" s="18" t="n">
        <v>233</v>
      </c>
      <c r="D266" s="9" t="s">
        <v>1684</v>
      </c>
      <c r="E266" s="11"/>
      <c r="F266" s="9" t="s">
        <v>1684</v>
      </c>
      <c r="G266" s="11"/>
      <c r="H266" s="9" t="s">
        <v>1685</v>
      </c>
      <c r="I266" s="11" t="str">
        <f aca="false">CONCATENATE("http://www.wikidata.org/entity/",H266)</f>
        <v>http://www.wikidata.org/entity/Q959583</v>
      </c>
      <c r="J266" s="9" t="s">
        <v>1686</v>
      </c>
      <c r="K266" s="11" t="str">
        <f aca="false">CONCATENATE("https://d-nb.info/gnd/",J266)</f>
        <v>https://d-nb.info/gnd/4179673-1</v>
      </c>
      <c r="L266" s="11"/>
      <c r="M266" s="11"/>
      <c r="N266" s="11"/>
      <c r="O266" s="11"/>
      <c r="P266" s="9" t="s">
        <v>1687</v>
      </c>
      <c r="Q266" s="9" t="s">
        <v>1688</v>
      </c>
    </row>
    <row r="267" customFormat="false" ht="15" hidden="false" customHeight="false" outlineLevel="0" collapsed="false">
      <c r="A267" s="28" t="s">
        <v>1689</v>
      </c>
      <c r="B267" s="2" t="n">
        <v>250</v>
      </c>
      <c r="C267" s="18" t="n">
        <v>233</v>
      </c>
      <c r="D267" s="9" t="s">
        <v>1690</v>
      </c>
      <c r="E267" s="11"/>
      <c r="F267" s="9" t="s">
        <v>1691</v>
      </c>
      <c r="G267" s="11"/>
      <c r="H267" s="9" t="s">
        <v>1692</v>
      </c>
      <c r="I267" s="11" t="str">
        <f aca="false">CONCATENATE("http://www.wikidata.org/entity/",H267)</f>
        <v>http://www.wikidata.org/entity/Q89363113</v>
      </c>
      <c r="J267" s="11"/>
      <c r="K267" s="11"/>
      <c r="L267" s="11"/>
      <c r="M267" s="11"/>
      <c r="N267" s="11"/>
      <c r="O267" s="11"/>
      <c r="P267" s="9" t="s">
        <v>1693</v>
      </c>
      <c r="Q267" s="9" t="s">
        <v>1694</v>
      </c>
    </row>
    <row r="268" customFormat="false" ht="15" hidden="false" customHeight="false" outlineLevel="0" collapsed="false">
      <c r="A268" s="28" t="s">
        <v>1695</v>
      </c>
      <c r="B268" s="2" t="n">
        <v>251</v>
      </c>
      <c r="C268" s="18" t="n">
        <v>233</v>
      </c>
      <c r="D268" s="9" t="s">
        <v>1696</v>
      </c>
      <c r="E268" s="11"/>
      <c r="F268" s="9" t="s">
        <v>1696</v>
      </c>
      <c r="G268" s="11"/>
      <c r="H268" s="9" t="s">
        <v>1697</v>
      </c>
      <c r="I268" s="11" t="str">
        <f aca="false">CONCATENATE("http://www.wikidata.org/entity/",H268)</f>
        <v>http://www.wikidata.org/entity/Q54365</v>
      </c>
      <c r="J268" s="9" t="s">
        <v>1698</v>
      </c>
      <c r="K268" s="11" t="str">
        <f aca="false">CONCATENATE("https://d-nb.info/gnd/",J268)</f>
        <v>https://d-nb.info/gnd/4417986-8</v>
      </c>
      <c r="L268" s="11"/>
      <c r="M268" s="11"/>
      <c r="N268" s="11"/>
      <c r="O268" s="11"/>
      <c r="P268" s="9" t="s">
        <v>1699</v>
      </c>
      <c r="Q268" s="9" t="s">
        <v>1700</v>
      </c>
    </row>
    <row r="269" customFormat="false" ht="15" hidden="false" customHeight="false" outlineLevel="0" collapsed="false">
      <c r="A269" s="28" t="s">
        <v>1701</v>
      </c>
      <c r="B269" s="2" t="n">
        <v>252</v>
      </c>
      <c r="C269" s="18" t="n">
        <v>197</v>
      </c>
      <c r="D269" s="9" t="s">
        <v>1702</v>
      </c>
      <c r="E269" s="11"/>
      <c r="F269" s="9" t="s">
        <v>1703</v>
      </c>
      <c r="G269" s="11"/>
      <c r="H269" s="9" t="s">
        <v>1704</v>
      </c>
      <c r="I269" s="11" t="str">
        <f aca="false">CONCATENATE("http://www.wikidata.org/entity/",H269)</f>
        <v>http://www.wikidata.org/entity/Q11787388</v>
      </c>
      <c r="J269" s="11"/>
      <c r="K269" s="11"/>
      <c r="L269" s="11"/>
      <c r="M269" s="11"/>
      <c r="N269" s="11"/>
      <c r="O269" s="11"/>
      <c r="P269" s="9" t="s">
        <v>1705</v>
      </c>
      <c r="Q269" s="9" t="s">
        <v>1706</v>
      </c>
    </row>
    <row r="270" customFormat="false" ht="15" hidden="false" customHeight="false" outlineLevel="0" collapsed="false">
      <c r="A270" s="28" t="s">
        <v>1707</v>
      </c>
      <c r="B270" s="2" t="n">
        <v>253</v>
      </c>
      <c r="C270" s="18" t="n">
        <v>197</v>
      </c>
      <c r="D270" s="9" t="s">
        <v>540</v>
      </c>
      <c r="E270" s="11"/>
      <c r="F270" s="9" t="s">
        <v>540</v>
      </c>
      <c r="G270" s="11"/>
      <c r="H270" s="9" t="s">
        <v>541</v>
      </c>
      <c r="I270" s="11" t="str">
        <f aca="false">CONCATENATE("http://www.wikidata.org/entity/",H270)</f>
        <v>http://www.wikidata.org/entity/Q217199</v>
      </c>
      <c r="J270" s="9" t="s">
        <v>542</v>
      </c>
      <c r="K270" s="11" t="str">
        <f aca="false">CONCATENATE("https://d-nb.info/gnd/",J270)</f>
        <v>https://d-nb.info/gnd/4017129-2</v>
      </c>
      <c r="L270" s="11" t="n">
        <v>300263865</v>
      </c>
      <c r="M270" s="11" t="str">
        <f aca="false">CONCATENATE("https://vocab.getty.edu/aat/",L270)</f>
        <v>https://vocab.getty.edu/aat/300263865</v>
      </c>
      <c r="N270" s="11"/>
      <c r="O270" s="11"/>
      <c r="P270" s="9" t="s">
        <v>1708</v>
      </c>
      <c r="Q270" s="9" t="s">
        <v>1709</v>
      </c>
    </row>
    <row r="271" customFormat="false" ht="15" hidden="false" customHeight="false" outlineLevel="0" collapsed="false">
      <c r="A271" s="28" t="s">
        <v>1710</v>
      </c>
      <c r="B271" s="2" t="n">
        <v>254</v>
      </c>
      <c r="C271" s="18" t="n">
        <v>253</v>
      </c>
      <c r="D271" s="9" t="s">
        <v>1711</v>
      </c>
      <c r="E271" s="11"/>
      <c r="F271" s="9" t="s">
        <v>1712</v>
      </c>
      <c r="G271" s="11"/>
      <c r="H271" s="9" t="s">
        <v>1713</v>
      </c>
      <c r="I271" s="11" t="str">
        <f aca="false">CONCATENATE("http://www.wikidata.org/entity/",H271)</f>
        <v>http://www.wikidata.org/entity/Q492264</v>
      </c>
      <c r="J271" s="9" t="s">
        <v>542</v>
      </c>
      <c r="K271" s="11" t="str">
        <f aca="false">CONCATENATE("https://d-nb.info/gnd/",J271)</f>
        <v>https://d-nb.info/gnd/4017129-2</v>
      </c>
      <c r="L271" s="11"/>
      <c r="M271" s="11"/>
      <c r="N271" s="11"/>
      <c r="O271" s="11"/>
      <c r="P271" s="9" t="s">
        <v>1714</v>
      </c>
      <c r="Q271" s="9" t="s">
        <v>1715</v>
      </c>
    </row>
    <row r="272" customFormat="false" ht="15" hidden="false" customHeight="false" outlineLevel="0" collapsed="false">
      <c r="A272" s="28" t="s">
        <v>1716</v>
      </c>
      <c r="B272" s="2" t="n">
        <v>255</v>
      </c>
      <c r="C272" s="18" t="n">
        <v>253</v>
      </c>
      <c r="D272" s="9" t="s">
        <v>1717</v>
      </c>
      <c r="E272" s="11"/>
      <c r="F272" s="9" t="s">
        <v>1718</v>
      </c>
      <c r="G272" s="9" t="s">
        <v>1719</v>
      </c>
      <c r="H272" s="9" t="s">
        <v>1720</v>
      </c>
      <c r="I272" s="11" t="str">
        <f aca="false">CONCATENATE("http://www.wikidata.org/entity/",H272)</f>
        <v>http://www.wikidata.org/entity/Q1062702</v>
      </c>
      <c r="J272" s="11" t="n">
        <v>1161203737</v>
      </c>
      <c r="K272" s="11" t="str">
        <f aca="false">CONCATENATE("https://d-nb.info/gnd/",J272)</f>
        <v>https://d-nb.info/gnd/1161203737</v>
      </c>
      <c r="L272" s="11"/>
      <c r="M272" s="11"/>
      <c r="N272" s="11"/>
      <c r="O272" s="11"/>
      <c r="P272" s="9" t="s">
        <v>1721</v>
      </c>
      <c r="Q272" s="9" t="s">
        <v>1722</v>
      </c>
    </row>
    <row r="273" customFormat="false" ht="15" hidden="false" customHeight="false" outlineLevel="0" collapsed="false">
      <c r="A273" s="28" t="s">
        <v>1723</v>
      </c>
      <c r="B273" s="2" t="n">
        <v>256</v>
      </c>
      <c r="C273" s="18" t="n">
        <v>197</v>
      </c>
      <c r="D273" s="9" t="s">
        <v>1724</v>
      </c>
      <c r="E273" s="11"/>
      <c r="F273" s="9" t="s">
        <v>1725</v>
      </c>
      <c r="G273" s="11"/>
      <c r="H273" s="9" t="s">
        <v>1726</v>
      </c>
      <c r="I273" s="11" t="str">
        <f aca="false">CONCATENATE("http://www.wikidata.org/entity/",H273)</f>
        <v>http://www.wikidata.org/entity/Q316930</v>
      </c>
      <c r="J273" s="9" t="s">
        <v>1727</v>
      </c>
      <c r="K273" s="11" t="str">
        <f aca="false">CONCATENATE("https://d-nb.info/gnd/",J273)</f>
        <v>https://d-nb.info/gnd/4140677-1</v>
      </c>
      <c r="L273" s="11"/>
      <c r="M273" s="11"/>
      <c r="N273" s="11"/>
      <c r="O273" s="11"/>
      <c r="P273" s="9" t="s">
        <v>1728</v>
      </c>
      <c r="Q273" s="9" t="s">
        <v>1729</v>
      </c>
    </row>
    <row r="274" customFormat="false" ht="15" hidden="false" customHeight="false" outlineLevel="0" collapsed="false">
      <c r="A274" s="28" t="s">
        <v>1730</v>
      </c>
      <c r="B274" s="2" t="n">
        <v>257</v>
      </c>
      <c r="C274" s="18" t="n">
        <v>197</v>
      </c>
      <c r="D274" s="9" t="s">
        <v>1731</v>
      </c>
      <c r="E274" s="11"/>
      <c r="F274" s="9" t="s">
        <v>1732</v>
      </c>
      <c r="G274" s="11"/>
      <c r="H274" s="9" t="s">
        <v>1733</v>
      </c>
      <c r="I274" s="11" t="str">
        <f aca="false">CONCATENATE("http://www.wikidata.org/entity/",H274)</f>
        <v>http://www.wikidata.org/entity/Q685884</v>
      </c>
      <c r="J274" s="9" t="s">
        <v>1734</v>
      </c>
      <c r="K274" s="11" t="str">
        <f aca="false">CONCATENATE("https://d-nb.info/gnd/",J274)</f>
        <v>https://d-nb.info/gnd/4063783-9</v>
      </c>
      <c r="L274" s="11"/>
      <c r="M274" s="11"/>
      <c r="N274" s="11"/>
      <c r="O274" s="11"/>
      <c r="P274" s="9" t="s">
        <v>1735</v>
      </c>
      <c r="Q274" s="9" t="s">
        <v>1736</v>
      </c>
    </row>
    <row r="275" customFormat="false" ht="15" hidden="false" customHeight="false" outlineLevel="0" collapsed="false">
      <c r="A275" s="28" t="s">
        <v>1737</v>
      </c>
      <c r="B275" s="2" t="n">
        <v>258</v>
      </c>
      <c r="C275" s="18" t="n">
        <v>197</v>
      </c>
      <c r="D275" s="9" t="s">
        <v>1738</v>
      </c>
      <c r="E275" s="11"/>
      <c r="F275" s="9" t="s">
        <v>1739</v>
      </c>
      <c r="G275" s="11"/>
      <c r="H275" s="9" t="s">
        <v>1740</v>
      </c>
      <c r="I275" s="11" t="str">
        <f aca="false">CONCATENATE("http://www.wikidata.org/entity/",H275)</f>
        <v>http://www.wikidata.org/entity/Q2707298</v>
      </c>
      <c r="J275" s="9" t="s">
        <v>1741</v>
      </c>
      <c r="K275" s="11" t="str">
        <f aca="false">CONCATENATE("https://d-nb.info/gnd/",J275)</f>
        <v>https://d-nb.info/gnd/4233831-1</v>
      </c>
      <c r="L275" s="11"/>
      <c r="M275" s="11"/>
      <c r="N275" s="11"/>
      <c r="O275" s="11"/>
      <c r="P275" s="9" t="s">
        <v>1742</v>
      </c>
      <c r="Q275" s="9" t="s">
        <v>1743</v>
      </c>
    </row>
    <row r="276" customFormat="false" ht="15" hidden="false" customHeight="false" outlineLevel="0" collapsed="false">
      <c r="A276" s="28" t="s">
        <v>1744</v>
      </c>
      <c r="B276" s="2" t="n">
        <v>259</v>
      </c>
      <c r="C276" s="18" t="n">
        <v>197</v>
      </c>
      <c r="D276" s="9" t="s">
        <v>1745</v>
      </c>
      <c r="E276" s="11"/>
      <c r="F276" s="9" t="s">
        <v>1746</v>
      </c>
      <c r="G276" s="11"/>
      <c r="H276" s="9" t="s">
        <v>1747</v>
      </c>
      <c r="I276" s="11" t="str">
        <f aca="false">CONCATENATE("http://www.wikidata.org/entity/",H276)</f>
        <v>http://www.wikidata.org/entity/Q461064</v>
      </c>
      <c r="J276" s="11"/>
      <c r="K276" s="11"/>
      <c r="L276" s="11"/>
      <c r="M276" s="11"/>
      <c r="N276" s="11"/>
      <c r="O276" s="11"/>
      <c r="P276" s="9" t="s">
        <v>1748</v>
      </c>
      <c r="Q276" s="9" t="s">
        <v>1749</v>
      </c>
    </row>
    <row r="277" customFormat="false" ht="15" hidden="false" customHeight="false" outlineLevel="0" collapsed="false">
      <c r="A277" s="28" t="s">
        <v>1750</v>
      </c>
      <c r="B277" s="2" t="n">
        <v>260</v>
      </c>
      <c r="C277" s="18"/>
      <c r="D277" s="9" t="s">
        <v>944</v>
      </c>
      <c r="E277" s="11"/>
      <c r="F277" s="9" t="s">
        <v>945</v>
      </c>
      <c r="G277" s="11"/>
      <c r="H277" s="9" t="s">
        <v>946</v>
      </c>
      <c r="I277" s="11" t="str">
        <f aca="false">CONCATENATE("http://www.wikidata.org/entity/",H277)</f>
        <v>http://www.wikidata.org/entity/Q11639</v>
      </c>
      <c r="J277" s="9" t="s">
        <v>947</v>
      </c>
      <c r="K277" s="11" t="str">
        <f aca="false">CONCATENATE("https://d-nb.info/gnd/",J277)</f>
        <v>https://d-nb.info/gnd/4059028-8</v>
      </c>
      <c r="L277" s="11" t="n">
        <v>300054144</v>
      </c>
      <c r="M277" s="11" t="str">
        <f aca="false">CONCATENATE("https://vocab.getty.edu/aat/",L277)</f>
        <v>https://vocab.getty.edu/aat/300054144</v>
      </c>
      <c r="N277" s="11"/>
      <c r="O277" s="11"/>
      <c r="P277" s="9" t="s">
        <v>945</v>
      </c>
      <c r="Q277" s="9" t="s">
        <v>944</v>
      </c>
    </row>
    <row r="278" customFormat="false" ht="15" hidden="false" customHeight="false" outlineLevel="0" collapsed="false">
      <c r="A278" s="28" t="s">
        <v>1751</v>
      </c>
      <c r="B278" s="2" t="n">
        <v>261</v>
      </c>
      <c r="C278" s="18" t="n">
        <v>260</v>
      </c>
      <c r="D278" s="9" t="s">
        <v>1752</v>
      </c>
      <c r="E278" s="11"/>
      <c r="F278" s="9" t="s">
        <v>1753</v>
      </c>
      <c r="G278" s="11"/>
      <c r="H278" s="9" t="s">
        <v>1754</v>
      </c>
      <c r="I278" s="11" t="str">
        <f aca="false">CONCATENATE("http://www.wikidata.org/entity/",H278)</f>
        <v>http://www.wikidata.org/entity/Q1020618</v>
      </c>
      <c r="J278" s="11"/>
      <c r="K278" s="11"/>
      <c r="L278" s="11"/>
      <c r="M278" s="11"/>
      <c r="N278" s="11"/>
      <c r="O278" s="11"/>
      <c r="P278" s="9" t="s">
        <v>1755</v>
      </c>
      <c r="Q278" s="9" t="s">
        <v>1756</v>
      </c>
    </row>
    <row r="279" customFormat="false" ht="15" hidden="false" customHeight="false" outlineLevel="0" collapsed="false">
      <c r="A279" s="28" t="s">
        <v>1757</v>
      </c>
      <c r="B279" s="2" t="n">
        <v>262</v>
      </c>
      <c r="C279" s="18" t="n">
        <v>260</v>
      </c>
      <c r="D279" s="9" t="s">
        <v>1758</v>
      </c>
      <c r="E279" s="11"/>
      <c r="F279" s="9" t="s">
        <v>1759</v>
      </c>
      <c r="G279" s="11"/>
      <c r="H279" s="9" t="s">
        <v>1760</v>
      </c>
      <c r="I279" s="11" t="str">
        <f aca="false">CONCATENATE("http://www.wikidata.org/entity/",H279)</f>
        <v>http://www.wikidata.org/entity/Q1551063</v>
      </c>
      <c r="J279" s="9" t="s">
        <v>1761</v>
      </c>
      <c r="K279" s="11" t="str">
        <f aca="false">CONCATENATE("https://d-nb.info/gnd/",J279)</f>
        <v>https://d-nb.info/gnd/4158473-9</v>
      </c>
      <c r="L279" s="11"/>
      <c r="M279" s="11"/>
      <c r="N279" s="11"/>
      <c r="O279" s="11"/>
      <c r="P279" s="9" t="s">
        <v>1762</v>
      </c>
      <c r="Q279" s="9" t="s">
        <v>1763</v>
      </c>
    </row>
    <row r="280" customFormat="false" ht="15" hidden="false" customHeight="false" outlineLevel="0" collapsed="false">
      <c r="A280" s="28" t="s">
        <v>1764</v>
      </c>
      <c r="B280" s="2" t="n">
        <v>263</v>
      </c>
      <c r="C280" s="18" t="n">
        <v>260</v>
      </c>
      <c r="D280" s="9" t="s">
        <v>1765</v>
      </c>
      <c r="E280" s="11"/>
      <c r="F280" s="9" t="s">
        <v>1766</v>
      </c>
      <c r="G280" s="11"/>
      <c r="H280" s="9" t="s">
        <v>1767</v>
      </c>
      <c r="I280" s="11" t="str">
        <f aca="false">CONCATENATE("http://www.wikidata.org/entity/",H280)</f>
        <v>http://www.wikidata.org/entity/Q936055</v>
      </c>
      <c r="J280" s="9" t="s">
        <v>1768</v>
      </c>
      <c r="K280" s="11" t="str">
        <f aca="false">CONCATENATE("https://d-nb.info/gnd/",J280)</f>
        <v>https://d-nb.info/gnd/4028536-4</v>
      </c>
      <c r="L280" s="11"/>
      <c r="M280" s="11"/>
      <c r="N280" s="11"/>
      <c r="O280" s="11"/>
      <c r="P280" s="9" t="s">
        <v>1769</v>
      </c>
      <c r="Q280" s="9" t="s">
        <v>1770</v>
      </c>
    </row>
    <row r="281" customFormat="false" ht="15" hidden="false" customHeight="false" outlineLevel="0" collapsed="false">
      <c r="A281" s="28" t="s">
        <v>1771</v>
      </c>
      <c r="B281" s="2" t="n">
        <v>264</v>
      </c>
      <c r="C281" s="18" t="n">
        <v>260</v>
      </c>
      <c r="D281" s="9" t="s">
        <v>1772</v>
      </c>
      <c r="E281" s="11"/>
      <c r="F281" s="9" t="s">
        <v>1773</v>
      </c>
      <c r="G281" s="11"/>
      <c r="H281" s="9" t="s">
        <v>1774</v>
      </c>
      <c r="I281" s="11" t="str">
        <f aca="false">CONCATENATE("http://www.wikidata.org/entity/",H281)</f>
        <v>http://www.wikidata.org/entity/Q1457972</v>
      </c>
      <c r="J281" s="9" t="s">
        <v>1775</v>
      </c>
      <c r="K281" s="11" t="str">
        <f aca="false">CONCATENATE("https://d-nb.info/gnd/",J281)</f>
        <v>https://d-nb.info/gnd/4166849-2</v>
      </c>
      <c r="L281" s="11"/>
      <c r="M281" s="11"/>
      <c r="N281" s="11"/>
      <c r="O281" s="11"/>
      <c r="P281" s="9" t="s">
        <v>1776</v>
      </c>
      <c r="Q281" s="9" t="s">
        <v>1777</v>
      </c>
    </row>
    <row r="282" customFormat="false" ht="15" hidden="false" customHeight="false" outlineLevel="0" collapsed="false">
      <c r="A282" s="28" t="s">
        <v>1778</v>
      </c>
      <c r="B282" s="2" t="n">
        <v>265</v>
      </c>
      <c r="C282" s="18" t="n">
        <v>260</v>
      </c>
      <c r="D282" s="9" t="s">
        <v>1779</v>
      </c>
      <c r="E282" s="11"/>
      <c r="F282" s="9" t="s">
        <v>1780</v>
      </c>
      <c r="G282" s="11"/>
      <c r="H282" s="9" t="s">
        <v>1781</v>
      </c>
      <c r="I282" s="11" t="str">
        <f aca="false">CONCATENATE("http://www.wikidata.org/entity/",H282)</f>
        <v>http://www.wikidata.org/entity/Q1650566</v>
      </c>
      <c r="J282" s="9" t="s">
        <v>1782</v>
      </c>
      <c r="K282" s="11" t="str">
        <f aca="false">CONCATENATE("https://d-nb.info/gnd/",J282)</f>
        <v>https://d-nb.info/gnd/4338414-6</v>
      </c>
      <c r="L282" s="11"/>
      <c r="M282" s="11"/>
      <c r="N282" s="11"/>
      <c r="O282" s="11"/>
      <c r="P282" s="9" t="s">
        <v>1783</v>
      </c>
      <c r="Q282" s="9" t="s">
        <v>1784</v>
      </c>
    </row>
    <row r="283" customFormat="false" ht="15" hidden="false" customHeight="false" outlineLevel="0" collapsed="false">
      <c r="A283" s="28" t="s">
        <v>1785</v>
      </c>
      <c r="B283" s="2" t="n">
        <v>266</v>
      </c>
      <c r="C283" s="18" t="n">
        <v>260</v>
      </c>
      <c r="D283" s="9" t="s">
        <v>1786</v>
      </c>
      <c r="E283" s="11"/>
      <c r="F283" s="9" t="s">
        <v>1787</v>
      </c>
      <c r="G283" s="11"/>
      <c r="H283" s="9" t="s">
        <v>1788</v>
      </c>
      <c r="I283" s="11" t="str">
        <f aca="false">CONCATENATE("http://www.wikidata.org/entity/",H283)</f>
        <v>http://www.wikidata.org/entity/Q280336</v>
      </c>
      <c r="J283" s="9" t="s">
        <v>1789</v>
      </c>
      <c r="K283" s="11" t="str">
        <f aca="false">CONCATENATE("https://d-nb.info/gnd/",J283)</f>
        <v>https://d-nb.info/gnd/4485517-5</v>
      </c>
      <c r="L283" s="11"/>
      <c r="M283" s="11"/>
      <c r="N283" s="11"/>
      <c r="O283" s="11"/>
      <c r="P283" s="9" t="s">
        <v>1790</v>
      </c>
      <c r="Q283" s="9" t="s">
        <v>1791</v>
      </c>
    </row>
    <row r="284" customFormat="false" ht="15" hidden="false" customHeight="false" outlineLevel="0" collapsed="false">
      <c r="A284" s="28" t="s">
        <v>1792</v>
      </c>
      <c r="B284" s="2" t="n">
        <v>267</v>
      </c>
      <c r="C284" s="18" t="n">
        <v>260</v>
      </c>
      <c r="D284" s="9" t="s">
        <v>1793</v>
      </c>
      <c r="E284" s="11"/>
      <c r="F284" s="9" t="s">
        <v>1794</v>
      </c>
      <c r="G284" s="11"/>
      <c r="H284" s="9" t="s">
        <v>1795</v>
      </c>
      <c r="I284" s="11" t="str">
        <f aca="false">CONCATENATE("http://www.wikidata.org/entity/",H284)</f>
        <v>http://www.wikidata.org/entity/Q912389</v>
      </c>
      <c r="J284" s="9" t="s">
        <v>1796</v>
      </c>
      <c r="K284" s="11" t="str">
        <f aca="false">CONCATENATE("https://d-nb.info/gnd/",J284)</f>
        <v>https://d-nb.info/gnd/4408881-4</v>
      </c>
      <c r="L284" s="11"/>
      <c r="M284" s="11"/>
      <c r="N284" s="11"/>
      <c r="O284" s="11"/>
      <c r="P284" s="9" t="s">
        <v>1797</v>
      </c>
      <c r="Q284" s="9" t="s">
        <v>1798</v>
      </c>
    </row>
    <row r="285" customFormat="false" ht="15" hidden="false" customHeight="false" outlineLevel="0" collapsed="false">
      <c r="A285" s="28" t="s">
        <v>1799</v>
      </c>
      <c r="B285" s="2" t="n">
        <v>268</v>
      </c>
      <c r="C285" s="18" t="n">
        <v>260</v>
      </c>
      <c r="D285" s="9" t="s">
        <v>1800</v>
      </c>
      <c r="E285" s="11"/>
      <c r="F285" s="9" t="s">
        <v>1801</v>
      </c>
      <c r="G285" s="9" t="s">
        <v>1802</v>
      </c>
      <c r="H285" s="9" t="s">
        <v>1803</v>
      </c>
      <c r="I285" s="11" t="str">
        <f aca="false">CONCATENATE("http://www.wikidata.org/entity/",H285)</f>
        <v>http://www.wikidata.org/entity/Q178406</v>
      </c>
      <c r="J285" s="9" t="s">
        <v>1804</v>
      </c>
      <c r="K285" s="11" t="str">
        <f aca="false">CONCATENATE("https://d-nb.info/gnd/",J285)</f>
        <v>https://d-nb.info/gnd/4151459-2</v>
      </c>
      <c r="L285" s="11"/>
      <c r="M285" s="11"/>
      <c r="N285" s="11"/>
      <c r="O285" s="11"/>
      <c r="P285" s="9" t="s">
        <v>1805</v>
      </c>
      <c r="Q285" s="9" t="s">
        <v>1806</v>
      </c>
    </row>
    <row r="286" customFormat="false" ht="15" hidden="false" customHeight="false" outlineLevel="0" collapsed="false">
      <c r="A286" s="28" t="s">
        <v>1807</v>
      </c>
      <c r="B286" s="2" t="n">
        <v>269</v>
      </c>
      <c r="C286" s="18" t="n">
        <v>260</v>
      </c>
      <c r="D286" s="9" t="s">
        <v>1808</v>
      </c>
      <c r="E286" s="11"/>
      <c r="F286" s="9" t="s">
        <v>1809</v>
      </c>
      <c r="G286" s="9" t="s">
        <v>1810</v>
      </c>
      <c r="H286" s="9" t="s">
        <v>1811</v>
      </c>
      <c r="I286" s="11" t="str">
        <f aca="false">CONCATENATE("http://www.wikidata.org/entity/",H286)</f>
        <v>http://www.wikidata.org/entity/Q1085001</v>
      </c>
      <c r="J286" s="9" t="s">
        <v>1812</v>
      </c>
      <c r="K286" s="11" t="str">
        <f aca="false">CONCATENATE("https://d-nb.info/gnd/",J286)</f>
        <v>https://d-nb.info/gnd/4235881-4</v>
      </c>
      <c r="L286" s="11"/>
      <c r="M286" s="11"/>
      <c r="N286" s="11"/>
      <c r="O286" s="11"/>
      <c r="P286" s="9" t="s">
        <v>1813</v>
      </c>
      <c r="Q286" s="9" t="s">
        <v>1814</v>
      </c>
    </row>
    <row r="287" customFormat="false" ht="15" hidden="false" customHeight="false" outlineLevel="0" collapsed="false">
      <c r="A287" s="28" t="s">
        <v>1815</v>
      </c>
      <c r="B287" s="2" t="n">
        <v>270</v>
      </c>
      <c r="C287" s="18" t="n">
        <v>260</v>
      </c>
      <c r="D287" s="9" t="s">
        <v>1816</v>
      </c>
      <c r="E287" s="9" t="s">
        <v>1817</v>
      </c>
      <c r="F287" s="9" t="s">
        <v>1818</v>
      </c>
      <c r="G287" s="9" t="s">
        <v>1819</v>
      </c>
      <c r="H287" s="9" t="s">
        <v>1820</v>
      </c>
      <c r="I287" s="11" t="str">
        <f aca="false">CONCATENATE("http://www.wikidata.org/entity/",H287)</f>
        <v>http://www.wikidata.org/entity/Q1061584</v>
      </c>
      <c r="J287" s="11" t="n">
        <v>1234925664</v>
      </c>
      <c r="K287" s="11" t="str">
        <f aca="false">CONCATENATE("https://d-nb.info/gnd/",J287)</f>
        <v>https://d-nb.info/gnd/1234925664</v>
      </c>
      <c r="L287" s="11"/>
      <c r="M287" s="11"/>
      <c r="N287" s="11"/>
      <c r="O287" s="11"/>
      <c r="P287" s="9" t="s">
        <v>1821</v>
      </c>
      <c r="Q287" s="9" t="s">
        <v>1822</v>
      </c>
    </row>
    <row r="288" customFormat="false" ht="15" hidden="false" customHeight="false" outlineLevel="0" collapsed="false">
      <c r="A288" s="28" t="s">
        <v>1823</v>
      </c>
      <c r="B288" s="2" t="n">
        <v>271</v>
      </c>
      <c r="C288" s="18" t="n">
        <v>260</v>
      </c>
      <c r="D288" s="9" t="s">
        <v>422</v>
      </c>
      <c r="E288" s="11"/>
      <c r="F288" s="9" t="s">
        <v>423</v>
      </c>
      <c r="G288" s="11"/>
      <c r="H288" s="9" t="s">
        <v>424</v>
      </c>
      <c r="I288" s="11" t="str">
        <f aca="false">CONCATENATE("http://www.wikidata.org/entity/",H288)</f>
        <v>http://www.wikidata.org/entity/Q1425858</v>
      </c>
      <c r="J288" s="9" t="s">
        <v>425</v>
      </c>
      <c r="K288" s="11" t="str">
        <f aca="false">CONCATENATE("https://d-nb.info/gnd/",J288)</f>
        <v>https://d-nb.info/gnd/4184451-8</v>
      </c>
      <c r="L288" s="11"/>
      <c r="M288" s="11"/>
      <c r="N288" s="11"/>
      <c r="O288" s="11"/>
      <c r="P288" s="9" t="s">
        <v>1824</v>
      </c>
      <c r="Q288" s="9" t="s">
        <v>1825</v>
      </c>
    </row>
    <row r="289" customFormat="false" ht="15" hidden="false" customHeight="false" outlineLevel="0" collapsed="false">
      <c r="A289" s="28" t="s">
        <v>1826</v>
      </c>
      <c r="B289" s="2" t="n">
        <v>272</v>
      </c>
      <c r="C289" s="18"/>
      <c r="D289" s="9" t="s">
        <v>1827</v>
      </c>
      <c r="E289" s="11"/>
      <c r="F289" s="9" t="s">
        <v>1828</v>
      </c>
      <c r="G289" s="11"/>
      <c r="H289" s="9" t="s">
        <v>1829</v>
      </c>
      <c r="I289" s="11" t="str">
        <f aca="false">CONCATENATE("http://www.wikidata.org/entity/",H289)</f>
        <v>http://www.wikidata.org/entity/Q1656682</v>
      </c>
      <c r="J289" s="9" t="s">
        <v>1830</v>
      </c>
      <c r="K289" s="11" t="str">
        <f aca="false">CONCATENATE("https://d-nb.info/gnd/",J289)</f>
        <v>https://d-nb.info/gnd/4125453-3</v>
      </c>
      <c r="L289" s="11" t="n">
        <v>300417518</v>
      </c>
      <c r="M289" s="11" t="str">
        <f aca="false">CONCATENATE("https://vocab.getty.edu/aat/",L289)</f>
        <v>https://vocab.getty.edu/aat/300417518</v>
      </c>
      <c r="N289" s="11"/>
      <c r="O289" s="11"/>
      <c r="P289" s="9" t="s">
        <v>1828</v>
      </c>
      <c r="Q289" s="9" t="s">
        <v>1827</v>
      </c>
    </row>
    <row r="290" customFormat="false" ht="15" hidden="false" customHeight="false" outlineLevel="0" collapsed="false">
      <c r="A290" s="28" t="s">
        <v>1831</v>
      </c>
      <c r="B290" s="2" t="n">
        <v>273</v>
      </c>
      <c r="C290" s="18" t="n">
        <v>272</v>
      </c>
      <c r="D290" s="9" t="s">
        <v>1832</v>
      </c>
      <c r="E290" s="11"/>
      <c r="F290" s="9" t="s">
        <v>1832</v>
      </c>
      <c r="G290" s="11"/>
      <c r="H290" s="9" t="s">
        <v>1833</v>
      </c>
      <c r="I290" s="11" t="str">
        <f aca="false">CONCATENATE("http://www.wikidata.org/entity/",H290)</f>
        <v>http://www.wikidata.org/entity/Q178651</v>
      </c>
      <c r="J290" s="9" t="s">
        <v>1834</v>
      </c>
      <c r="K290" s="11" t="str">
        <f aca="false">CONCATENATE("https://d-nb.info/gnd/",J290)</f>
        <v>https://d-nb.info/gnd/4027503-6</v>
      </c>
      <c r="L290" s="11" t="n">
        <v>300026392</v>
      </c>
      <c r="M290" s="11" t="str">
        <f aca="false">CONCATENATE("https://vocab.getty.edu/aat/",L290)</f>
        <v>https://vocab.getty.edu/aat/300026392</v>
      </c>
      <c r="N290" s="11"/>
      <c r="O290" s="11"/>
      <c r="P290" s="9" t="s">
        <v>1835</v>
      </c>
      <c r="Q290" s="9" t="s">
        <v>1836</v>
      </c>
    </row>
    <row r="291" customFormat="false" ht="15" hidden="false" customHeight="false" outlineLevel="0" collapsed="false">
      <c r="A291" s="28" t="s">
        <v>1837</v>
      </c>
      <c r="B291" s="2" t="n">
        <v>274</v>
      </c>
      <c r="C291" s="18" t="n">
        <v>272</v>
      </c>
      <c r="D291" s="9" t="s">
        <v>1838</v>
      </c>
      <c r="E291" s="11"/>
      <c r="F291" s="9" t="s">
        <v>1839</v>
      </c>
      <c r="G291" s="9" t="s">
        <v>1840</v>
      </c>
      <c r="H291" s="9" t="s">
        <v>1841</v>
      </c>
      <c r="I291" s="11" t="str">
        <f aca="false">CONCATENATE("http://www.wikidata.org/entity/",H291)</f>
        <v>http://www.wikidata.org/entity/Q2100278</v>
      </c>
      <c r="J291" s="9" t="s">
        <v>1842</v>
      </c>
      <c r="K291" s="11" t="str">
        <f aca="false">CONCATENATE("https://d-nb.info/gnd/",J291)</f>
        <v>https://d-nb.info/gnd/4614247-2</v>
      </c>
      <c r="L291" s="11"/>
      <c r="M291" s="11"/>
      <c r="N291" s="11"/>
      <c r="O291" s="11"/>
      <c r="P291" s="9" t="s">
        <v>1843</v>
      </c>
      <c r="Q291" s="9" t="s">
        <v>1836</v>
      </c>
    </row>
    <row r="292" customFormat="false" ht="15" hidden="false" customHeight="false" outlineLevel="0" collapsed="false">
      <c r="A292" s="28" t="s">
        <v>1844</v>
      </c>
      <c r="B292" s="2" t="n">
        <v>275</v>
      </c>
      <c r="C292" s="18" t="n">
        <v>272</v>
      </c>
      <c r="D292" s="9" t="s">
        <v>1845</v>
      </c>
      <c r="E292" s="9" t="s">
        <v>1846</v>
      </c>
      <c r="F292" s="9" t="s">
        <v>1847</v>
      </c>
      <c r="G292" s="9" t="s">
        <v>1848</v>
      </c>
      <c r="H292" s="9" t="s">
        <v>1849</v>
      </c>
      <c r="I292" s="11" t="str">
        <f aca="false">CONCATENATE("http://www.wikidata.org/entity/",H292)</f>
        <v>http://www.wikidata.org/entity/Q861911</v>
      </c>
      <c r="J292" s="9" t="s">
        <v>1850</v>
      </c>
      <c r="K292" s="11" t="str">
        <f aca="false">CONCATENATE("https://d-nb.info/gnd/",J292)</f>
        <v>https://d-nb.info/gnd/4048882-2</v>
      </c>
      <c r="L292" s="11" t="n">
        <v>300417595</v>
      </c>
      <c r="M292" s="11" t="str">
        <f aca="false">CONCATENATE("https://vocab.getty.edu/aat/",L292)</f>
        <v>https://vocab.getty.edu/aat/300417595</v>
      </c>
      <c r="N292" s="11"/>
      <c r="O292" s="11"/>
      <c r="P292" s="9" t="s">
        <v>1851</v>
      </c>
      <c r="Q292" s="9" t="s">
        <v>1836</v>
      </c>
    </row>
    <row r="293" customFormat="false" ht="15" hidden="false" customHeight="false" outlineLevel="0" collapsed="false">
      <c r="A293" s="28" t="s">
        <v>1852</v>
      </c>
      <c r="B293" s="2" t="n">
        <v>276</v>
      </c>
      <c r="C293" s="18" t="n">
        <v>272</v>
      </c>
      <c r="D293" s="9" t="s">
        <v>1853</v>
      </c>
      <c r="E293" s="9" t="s">
        <v>1854</v>
      </c>
      <c r="F293" s="9" t="s">
        <v>1855</v>
      </c>
      <c r="G293" s="9" t="s">
        <v>1856</v>
      </c>
      <c r="H293" s="9" t="s">
        <v>1857</v>
      </c>
      <c r="I293" s="11" t="str">
        <f aca="false">CONCATENATE("http://www.wikidata.org/entity/",H293)</f>
        <v>http://www.wikidata.org/entity/Q2020153</v>
      </c>
      <c r="J293" s="9" t="s">
        <v>1858</v>
      </c>
      <c r="K293" s="11" t="str">
        <f aca="false">CONCATENATE("https://d-nb.info/gnd/",J293)</f>
        <v>https://d-nb.info/gnd/4032055-8</v>
      </c>
      <c r="L293" s="11" t="n">
        <v>300054789</v>
      </c>
      <c r="M293" s="11" t="str">
        <f aca="false">CONCATENATE("https://vocab.getty.edu/aat/",L293)</f>
        <v>https://vocab.getty.edu/aat/300054789</v>
      </c>
      <c r="N293" s="11"/>
      <c r="O293" s="11"/>
      <c r="P293" s="9" t="s">
        <v>1859</v>
      </c>
      <c r="Q293" s="9" t="s">
        <v>1836</v>
      </c>
    </row>
    <row r="294" customFormat="false" ht="15" hidden="false" customHeight="false" outlineLevel="0" collapsed="false">
      <c r="A294" s="28" t="s">
        <v>1860</v>
      </c>
      <c r="B294" s="2" t="n">
        <v>277</v>
      </c>
      <c r="C294" s="18" t="n">
        <v>272</v>
      </c>
      <c r="D294" s="9" t="s">
        <v>1861</v>
      </c>
      <c r="E294" s="9" t="s">
        <v>1862</v>
      </c>
      <c r="F294" s="9" t="s">
        <v>1863</v>
      </c>
      <c r="G294" s="9" t="s">
        <v>1864</v>
      </c>
      <c r="H294" s="9" t="s">
        <v>1865</v>
      </c>
      <c r="I294" s="11" t="str">
        <f aca="false">CONCATENATE("http://www.wikidata.org/entity/",H294)</f>
        <v>http://www.wikidata.org/entity/Q603773</v>
      </c>
      <c r="J294" s="9" t="s">
        <v>1866</v>
      </c>
      <c r="K294" s="11" t="str">
        <f aca="false">CONCATENATE("https://d-nb.info/gnd/",J294)</f>
        <v>https://d-nb.info/gnd/4117405-7</v>
      </c>
      <c r="L294" s="11" t="n">
        <v>300026673</v>
      </c>
      <c r="M294" s="11" t="str">
        <f aca="false">CONCATENATE("https://vocab.getty.edu/aat/",L294)</f>
        <v>https://vocab.getty.edu/aat/300026673</v>
      </c>
      <c r="N294" s="11"/>
      <c r="O294" s="11"/>
      <c r="P294" s="9" t="s">
        <v>1867</v>
      </c>
      <c r="Q294" s="9" t="s">
        <v>1836</v>
      </c>
    </row>
    <row r="295" customFormat="false" ht="15" hidden="false" customHeight="false" outlineLevel="0" collapsed="false">
      <c r="A295" s="28" t="s">
        <v>1868</v>
      </c>
      <c r="B295" s="2" t="n">
        <v>278</v>
      </c>
      <c r="C295" s="18" t="n">
        <v>272</v>
      </c>
      <c r="D295" s="9" t="s">
        <v>1869</v>
      </c>
      <c r="E295" s="11"/>
      <c r="F295" s="9" t="s">
        <v>1870</v>
      </c>
      <c r="G295" s="9" t="s">
        <v>1871</v>
      </c>
      <c r="H295" s="9" t="s">
        <v>1872</v>
      </c>
      <c r="I295" s="11" t="str">
        <f aca="false">CONCATENATE("http://www.wikidata.org/entity/",H295)</f>
        <v>http://www.wikidata.org/entity/Q604733</v>
      </c>
      <c r="J295" s="9" t="s">
        <v>1873</v>
      </c>
      <c r="K295" s="11" t="str">
        <f aca="false">CONCATENATE("https://d-nb.info/gnd/",J295)</f>
        <v>https://d-nb.info/gnd/4064035-8</v>
      </c>
      <c r="L295" s="11" t="n">
        <v>300026673</v>
      </c>
      <c r="M295" s="11" t="str">
        <f aca="false">CONCATENATE("https://vocab.getty.edu/aat/",L295)</f>
        <v>https://vocab.getty.edu/aat/300026673</v>
      </c>
      <c r="N295" s="11"/>
      <c r="O295" s="11"/>
      <c r="P295" s="9" t="s">
        <v>1874</v>
      </c>
      <c r="Q295" s="9" t="s">
        <v>1836</v>
      </c>
    </row>
    <row r="296" customFormat="false" ht="15" hidden="false" customHeight="false" outlineLevel="0" collapsed="false">
      <c r="A296" s="28" t="s">
        <v>1875</v>
      </c>
      <c r="B296" s="2" t="n">
        <v>279</v>
      </c>
      <c r="C296" s="18" t="n">
        <v>199</v>
      </c>
      <c r="D296" s="9" t="s">
        <v>1876</v>
      </c>
      <c r="E296" s="11"/>
      <c r="F296" s="9" t="s">
        <v>1877</v>
      </c>
      <c r="G296" s="11"/>
      <c r="H296" s="9" t="s">
        <v>1878</v>
      </c>
      <c r="I296" s="11" t="str">
        <f aca="false">CONCATENATE("http://www.wikidata.org/entity/",H296)</f>
        <v>http://www.wikidata.org/entity/Q1344</v>
      </c>
      <c r="J296" s="9" t="s">
        <v>1879</v>
      </c>
      <c r="K296" s="11" t="str">
        <f aca="false">CONCATENATE("https://d-nb.info/gnd/",J296)</f>
        <v>https://d-nb.info/gnd/4043582-9</v>
      </c>
      <c r="L296" s="11" t="n">
        <v>300054147</v>
      </c>
      <c r="M296" s="11" t="str">
        <f aca="false">CONCATENATE("https://vocab.getty.edu/aat/",L296)</f>
        <v>https://vocab.getty.edu/aat/300054147</v>
      </c>
      <c r="N296" s="11"/>
      <c r="O296" s="11"/>
      <c r="P296" s="9" t="s">
        <v>1880</v>
      </c>
      <c r="Q296" s="9" t="s">
        <v>1881</v>
      </c>
    </row>
    <row r="297" customFormat="false" ht="15" hidden="false" customHeight="false" outlineLevel="0" collapsed="false">
      <c r="A297" s="28" t="s">
        <v>1882</v>
      </c>
      <c r="B297" s="2" t="n">
        <v>280</v>
      </c>
      <c r="C297" s="18" t="n">
        <v>32</v>
      </c>
      <c r="D297" s="9" t="s">
        <v>1883</v>
      </c>
      <c r="E297" s="9" t="s">
        <v>1884</v>
      </c>
      <c r="F297" s="9" t="s">
        <v>1885</v>
      </c>
      <c r="G297" s="9" t="s">
        <v>1886</v>
      </c>
      <c r="H297" s="9" t="s">
        <v>1887</v>
      </c>
      <c r="I297" s="11" t="str">
        <f aca="false">CONCATENATE("http://www.wikidata.org/entity/",H297)</f>
        <v>http://www.wikidata.org/entity/Q2137554</v>
      </c>
      <c r="J297" s="9" t="s">
        <v>1888</v>
      </c>
      <c r="K297" s="11" t="str">
        <f aca="false">CONCATENATE("https://d-nb.info/gnd/",J297)</f>
        <v>https://d-nb.info/gnd/4177403-6</v>
      </c>
      <c r="L297" s="11"/>
      <c r="M297" s="11"/>
      <c r="N297" s="11"/>
      <c r="O297" s="11"/>
      <c r="P297" s="9" t="s">
        <v>1889</v>
      </c>
      <c r="Q297" s="9" t="s">
        <v>1890</v>
      </c>
    </row>
    <row r="298" customFormat="false" ht="15" hidden="false" customHeight="false" outlineLevel="0" collapsed="false">
      <c r="A298" s="28" t="s">
        <v>1891</v>
      </c>
      <c r="B298" s="2" t="n">
        <v>281</v>
      </c>
      <c r="C298" s="18" t="n">
        <v>200</v>
      </c>
      <c r="D298" s="9" t="s">
        <v>1892</v>
      </c>
      <c r="E298" s="11"/>
      <c r="F298" s="9" t="s">
        <v>1892</v>
      </c>
      <c r="G298" s="9" t="s">
        <v>1893</v>
      </c>
      <c r="H298" s="9" t="s">
        <v>1894</v>
      </c>
      <c r="I298" s="11" t="str">
        <f aca="false">CONCATENATE("http://www.wikidata.org/entity/",H298)</f>
        <v>http://www.wikidata.org/entity/Q131286868</v>
      </c>
      <c r="J298" s="11" t="n">
        <v>1348929952</v>
      </c>
      <c r="K298" s="11" t="str">
        <f aca="false">CONCATENATE("https://d-nb.info/gnd/",J298)</f>
        <v>https://d-nb.info/gnd/1348929952</v>
      </c>
      <c r="L298" s="11"/>
      <c r="M298" s="11"/>
      <c r="N298" s="11"/>
      <c r="O298" s="11"/>
      <c r="P298" s="9" t="s">
        <v>1895</v>
      </c>
      <c r="Q298" s="9" t="s">
        <v>1896</v>
      </c>
    </row>
    <row r="299" customFormat="false" ht="15" hidden="false" customHeight="false" outlineLevel="0" collapsed="false">
      <c r="A299" s="28" t="s">
        <v>1897</v>
      </c>
      <c r="B299" s="2" t="n">
        <v>282</v>
      </c>
      <c r="C299" s="18" t="n">
        <v>272</v>
      </c>
      <c r="D299" s="9" t="s">
        <v>1898</v>
      </c>
      <c r="E299" s="9" t="s">
        <v>1899</v>
      </c>
      <c r="F299" s="9" t="s">
        <v>1900</v>
      </c>
      <c r="G299" s="9" t="s">
        <v>1901</v>
      </c>
      <c r="H299" s="9" t="s">
        <v>1902</v>
      </c>
      <c r="I299" s="11" t="str">
        <f aca="false">CONCATENATE("http://www.wikidata.org/entity/",H299)</f>
        <v>http://www.wikidata.org/entity/Q1555508</v>
      </c>
      <c r="J299" s="9" t="s">
        <v>1903</v>
      </c>
      <c r="K299" s="11" t="str">
        <f aca="false">CONCATENATE("https://d-nb.info/gnd/",J299)</f>
        <v>https://d-nb.info/gnd/4160384-9</v>
      </c>
      <c r="L299" s="11" t="n">
        <v>300387763</v>
      </c>
      <c r="M299" s="11" t="str">
        <f aca="false">CONCATENATE("https://vocab.getty.edu/aat/",L299)</f>
        <v>https://vocab.getty.edu/aat/300387763</v>
      </c>
      <c r="N299" s="11"/>
      <c r="O299" s="11"/>
      <c r="P299" s="9" t="s">
        <v>1904</v>
      </c>
      <c r="Q299" s="9" t="s">
        <v>1905</v>
      </c>
    </row>
    <row r="300" customFormat="false" ht="15" hidden="false" customHeight="false" outlineLevel="0" collapsed="false">
      <c r="A300" s="28" t="s">
        <v>1906</v>
      </c>
      <c r="B300" s="2" t="n">
        <v>283</v>
      </c>
      <c r="C300" s="18" t="n">
        <v>127</v>
      </c>
      <c r="D300" s="9" t="s">
        <v>1907</v>
      </c>
      <c r="E300" s="9" t="s">
        <v>1908</v>
      </c>
      <c r="F300" s="9" t="s">
        <v>1907</v>
      </c>
      <c r="G300" s="9" t="s">
        <v>1909</v>
      </c>
      <c r="H300" s="9" t="s">
        <v>1910</v>
      </c>
      <c r="I300" s="11" t="str">
        <f aca="false">CONCATENATE("http://www.wikidata.org/entity/",H300)</f>
        <v>http://www.wikidata.org/entity/Q1400853</v>
      </c>
      <c r="J300" s="9" t="s">
        <v>1911</v>
      </c>
      <c r="K300" s="11" t="str">
        <f aca="false">CONCATENATE("https://d-nb.info/gnd/",J300)</f>
        <v>https://d-nb.info/gnd/4145426-1</v>
      </c>
      <c r="L300" s="11" t="n">
        <v>300015637</v>
      </c>
      <c r="M300" s="11" t="str">
        <f aca="false">CONCATENATE("https://vocab.getty.edu/aat/",L300)</f>
        <v>https://vocab.getty.edu/aat/300015637</v>
      </c>
      <c r="N300" s="11"/>
      <c r="O300" s="11"/>
      <c r="P300" s="9" t="s">
        <v>1912</v>
      </c>
      <c r="Q300" s="9" t="s">
        <v>1913</v>
      </c>
    </row>
    <row r="301" customFormat="false" ht="15" hidden="false" customHeight="false" outlineLevel="0" collapsed="false">
      <c r="A301" s="28" t="s">
        <v>1914</v>
      </c>
      <c r="B301" s="2" t="n">
        <v>284</v>
      </c>
      <c r="C301" s="18" t="n">
        <v>127</v>
      </c>
      <c r="D301" s="9" t="s">
        <v>1915</v>
      </c>
      <c r="E301" s="11"/>
      <c r="F301" s="9" t="s">
        <v>1916</v>
      </c>
      <c r="G301" s="9" t="s">
        <v>1917</v>
      </c>
      <c r="H301" s="9" t="s">
        <v>1918</v>
      </c>
      <c r="I301" s="11" t="str">
        <f aca="false">CONCATENATE("http://www.wikidata.org/entity/",H301)</f>
        <v>http://www.wikidata.org/entity/Q191163</v>
      </c>
      <c r="J301" s="9" t="s">
        <v>1919</v>
      </c>
      <c r="K301" s="11" t="str">
        <f aca="false">CONCATENATE("https://d-nb.info/gnd/",J301)</f>
        <v>https://d-nb.info/gnd/4114355-3</v>
      </c>
      <c r="L301" s="11" t="n">
        <v>300015636</v>
      </c>
      <c r="M301" s="11" t="str">
        <f aca="false">CONCATENATE("https://vocab.getty.edu/aat/",L301)</f>
        <v>https://vocab.getty.edu/aat/300015636</v>
      </c>
      <c r="N301" s="11"/>
      <c r="O301" s="11"/>
      <c r="P301" s="9" t="s">
        <v>1920</v>
      </c>
      <c r="Q301" s="9" t="s">
        <v>1921</v>
      </c>
    </row>
    <row r="302" customFormat="false" ht="15" hidden="false" customHeight="false" outlineLevel="0" collapsed="false">
      <c r="A302" s="28" t="s">
        <v>1922</v>
      </c>
      <c r="B302" s="2" t="n">
        <v>285</v>
      </c>
      <c r="C302" s="18" t="n">
        <v>127</v>
      </c>
      <c r="D302" s="9" t="s">
        <v>1923</v>
      </c>
      <c r="E302" s="9" t="s">
        <v>1924</v>
      </c>
      <c r="F302" s="9" t="s">
        <v>1925</v>
      </c>
      <c r="G302" s="11"/>
      <c r="H302" s="9" t="s">
        <v>1926</v>
      </c>
      <c r="I302" s="11" t="str">
        <f aca="false">CONCATENATE("http://www.wikidata.org/entity/",H302)</f>
        <v>http://www.wikidata.org/entity/Q170571</v>
      </c>
      <c r="J302" s="9" t="s">
        <v>1927</v>
      </c>
      <c r="K302" s="11" t="str">
        <f aca="false">CONCATENATE("https://d-nb.info/gnd/",J302)</f>
        <v>https://d-nb.info/gnd/4057577-9</v>
      </c>
      <c r="L302" s="11" t="n">
        <v>300015638</v>
      </c>
      <c r="M302" s="11" t="str">
        <f aca="false">CONCATENATE("https://vocab.getty.edu/aat/",L302)</f>
        <v>https://vocab.getty.edu/aat/300015638</v>
      </c>
      <c r="N302" s="11"/>
      <c r="O302" s="11"/>
      <c r="P302" s="9" t="s">
        <v>1928</v>
      </c>
      <c r="Q302" s="9" t="s">
        <v>1929</v>
      </c>
    </row>
    <row r="303" customFormat="false" ht="15" hidden="false" customHeight="false" outlineLevel="0" collapsed="false">
      <c r="A303" s="28" t="s">
        <v>1930</v>
      </c>
      <c r="B303" s="2" t="n">
        <v>286</v>
      </c>
      <c r="C303" s="18" t="n">
        <v>127</v>
      </c>
      <c r="D303" s="9" t="s">
        <v>1931</v>
      </c>
      <c r="E303" s="11"/>
      <c r="F303" s="9" t="s">
        <v>1932</v>
      </c>
      <c r="G303" s="9" t="s">
        <v>1933</v>
      </c>
      <c r="H303" s="9" t="s">
        <v>1934</v>
      </c>
      <c r="I303" s="11" t="str">
        <f aca="false">CONCATENATE("http://www.wikidata.org/entity/",H303)</f>
        <v>http://www.wikidata.org/entity/Q214127</v>
      </c>
      <c r="J303" s="9" t="s">
        <v>1935</v>
      </c>
      <c r="K303" s="11" t="str">
        <f aca="false">CONCATENATE("https://d-nb.info/gnd/",J303)</f>
        <v>https://d-nb.info/gnd/4020173-9</v>
      </c>
      <c r="L303" s="11" t="n">
        <v>300139140</v>
      </c>
      <c r="M303" s="11" t="str">
        <f aca="false">CONCATENATE("https://vocab.getty.edu/aat/",L303)</f>
        <v>https://vocab.getty.edu/aat/300139140</v>
      </c>
      <c r="N303" s="11"/>
      <c r="O303" s="11"/>
      <c r="P303" s="9" t="s">
        <v>1936</v>
      </c>
      <c r="Q303" s="9" t="s">
        <v>1937</v>
      </c>
    </row>
    <row r="304" customFormat="false" ht="15" hidden="false" customHeight="false" outlineLevel="0" collapsed="false">
      <c r="A304" s="28" t="s">
        <v>1938</v>
      </c>
      <c r="B304" s="2" t="n">
        <v>287</v>
      </c>
      <c r="C304" s="18" t="n">
        <v>127</v>
      </c>
      <c r="D304" s="9" t="s">
        <v>1939</v>
      </c>
      <c r="E304" s="11"/>
      <c r="F304" s="9" t="s">
        <v>1940</v>
      </c>
      <c r="G304" s="9" t="s">
        <v>1941</v>
      </c>
      <c r="H304" s="9" t="s">
        <v>1942</v>
      </c>
      <c r="I304" s="11" t="str">
        <f aca="false">CONCATENATE("http://www.wikidata.org/entity/",H304)</f>
        <v>http://www.wikidata.org/entity/Q742333</v>
      </c>
      <c r="J304" s="9" t="s">
        <v>1943</v>
      </c>
      <c r="K304" s="11" t="str">
        <f aca="false">CONCATENATE("https://d-nb.info/gnd/",J304)</f>
        <v>https://d-nb.info/gnd/4025097-0</v>
      </c>
      <c r="L304" s="11" t="n">
        <v>300033898</v>
      </c>
      <c r="M304" s="11" t="str">
        <f aca="false">CONCATENATE("https://vocab.getty.edu/aat/",L304)</f>
        <v>https://vocab.getty.edu/aat/300033898</v>
      </c>
      <c r="N304" s="11"/>
      <c r="O304" s="11"/>
      <c r="P304" s="9" t="s">
        <v>1944</v>
      </c>
      <c r="Q304" s="9" t="s">
        <v>1945</v>
      </c>
    </row>
    <row r="305" customFormat="false" ht="15" hidden="false" customHeight="false" outlineLevel="0" collapsed="false">
      <c r="A305" s="28" t="s">
        <v>1946</v>
      </c>
      <c r="B305" s="2" t="n">
        <v>288</v>
      </c>
      <c r="C305" s="18" t="n">
        <v>127</v>
      </c>
      <c r="D305" s="9" t="s">
        <v>1947</v>
      </c>
      <c r="E305" s="11"/>
      <c r="F305" s="9" t="s">
        <v>1948</v>
      </c>
      <c r="G305" s="9" t="s">
        <v>1949</v>
      </c>
      <c r="H305" s="9" t="s">
        <v>1950</v>
      </c>
      <c r="I305" s="11" t="str">
        <f aca="false">CONCATENATE("http://www.wikidata.org/entity/",H305)</f>
        <v>http://www.wikidata.org/entity/Q333357</v>
      </c>
      <c r="J305" s="9" t="s">
        <v>1951</v>
      </c>
      <c r="K305" s="11" t="str">
        <f aca="false">CONCATENATE("https://d-nb.info/gnd/",J305)</f>
        <v>https://d-nb.info/gnd/4141148-1</v>
      </c>
      <c r="L305" s="11"/>
      <c r="M305" s="11"/>
      <c r="N305" s="11"/>
      <c r="O305" s="11"/>
      <c r="P305" s="9" t="s">
        <v>1952</v>
      </c>
      <c r="Q305" s="9" t="s">
        <v>1953</v>
      </c>
    </row>
    <row r="306" customFormat="false" ht="15" hidden="false" customHeight="false" outlineLevel="0" collapsed="false">
      <c r="A306" s="28" t="s">
        <v>1954</v>
      </c>
      <c r="B306" s="2" t="n">
        <v>289</v>
      </c>
      <c r="C306" s="18" t="n">
        <v>127</v>
      </c>
      <c r="D306" s="9" t="s">
        <v>1955</v>
      </c>
      <c r="E306" s="9" t="s">
        <v>1956</v>
      </c>
      <c r="F306" s="9" t="s">
        <v>1957</v>
      </c>
      <c r="G306" s="11"/>
      <c r="H306" s="9" t="s">
        <v>1958</v>
      </c>
      <c r="I306" s="11" t="str">
        <f aca="false">CONCATENATE("http://www.wikidata.org/entity/",H306)</f>
        <v>http://www.wikidata.org/entity/Q18353841</v>
      </c>
      <c r="J306" s="9" t="s">
        <v>1959</v>
      </c>
      <c r="K306" s="11" t="str">
        <f aca="false">CONCATENATE("https://d-nb.info/gnd/",J306)</f>
        <v>https://d-nb.info/gnd/4142964-3</v>
      </c>
      <c r="L306" s="11" t="n">
        <v>300440737</v>
      </c>
      <c r="M306" s="11" t="str">
        <f aca="false">CONCATENATE("https://vocab.getty.edu/aat/",L306)</f>
        <v>https://vocab.getty.edu/aat/300440737</v>
      </c>
      <c r="N306" s="11"/>
      <c r="O306" s="11"/>
      <c r="P306" s="9" t="s">
        <v>1960</v>
      </c>
      <c r="Q306" s="9" t="s">
        <v>1961</v>
      </c>
    </row>
    <row r="307" customFormat="false" ht="15" hidden="false" customHeight="false" outlineLevel="0" collapsed="false">
      <c r="A307" s="28" t="s">
        <v>1962</v>
      </c>
      <c r="B307" s="2" t="n">
        <v>290</v>
      </c>
      <c r="C307" s="18" t="n">
        <v>127</v>
      </c>
      <c r="D307" s="9" t="s">
        <v>1963</v>
      </c>
      <c r="E307" s="11"/>
      <c r="F307" s="9" t="s">
        <v>1964</v>
      </c>
      <c r="G307" s="11"/>
      <c r="H307" s="9" t="s">
        <v>1965</v>
      </c>
      <c r="I307" s="11" t="str">
        <f aca="false">CONCATENATE("http://www.wikidata.org/entity/",H307)</f>
        <v>http://www.wikidata.org/entity/Q1666094</v>
      </c>
      <c r="J307" s="11"/>
      <c r="K307" s="11"/>
      <c r="L307" s="11"/>
      <c r="M307" s="11"/>
      <c r="N307" s="11"/>
      <c r="O307" s="11"/>
      <c r="P307" s="9" t="s">
        <v>1966</v>
      </c>
      <c r="Q307" s="9" t="s">
        <v>1967</v>
      </c>
    </row>
    <row r="308" customFormat="false" ht="15" hidden="false" customHeight="false" outlineLevel="0" collapsed="false">
      <c r="A308" s="28" t="s">
        <v>1968</v>
      </c>
      <c r="B308" s="2" t="n">
        <v>291</v>
      </c>
      <c r="C308" s="18" t="n">
        <v>127</v>
      </c>
      <c r="D308" s="9" t="s">
        <v>1969</v>
      </c>
      <c r="E308" s="11"/>
      <c r="F308" s="9" t="s">
        <v>1970</v>
      </c>
      <c r="G308" s="11"/>
      <c r="H308" s="9" t="s">
        <v>1971</v>
      </c>
      <c r="I308" s="11" t="str">
        <f aca="false">CONCATENATE("http://www.wikidata.org/entity/",H308)</f>
        <v>http://www.wikidata.org/entity/Q40446</v>
      </c>
      <c r="J308" s="9" t="s">
        <v>1972</v>
      </c>
      <c r="K308" s="11" t="str">
        <f aca="false">CONCATENATE("https://d-nb.info/gnd/",J308)</f>
        <v>https://d-nb.info/gnd/4000978-6</v>
      </c>
      <c r="L308" s="11"/>
      <c r="M308" s="11"/>
      <c r="N308" s="11"/>
      <c r="O308" s="11"/>
      <c r="P308" s="9" t="s">
        <v>1973</v>
      </c>
      <c r="Q308" s="9" t="s">
        <v>1974</v>
      </c>
    </row>
    <row r="309" customFormat="false" ht="15" hidden="false" customHeight="true" outlineLevel="0" collapsed="false">
      <c r="C309" s="18"/>
      <c r="D309" s="11"/>
      <c r="E309" s="11"/>
      <c r="F309" s="11"/>
      <c r="G309" s="11"/>
      <c r="H309" s="11"/>
      <c r="I309" s="11"/>
      <c r="J309" s="11"/>
      <c r="K309" s="11"/>
      <c r="L309" s="11"/>
      <c r="M309" s="11"/>
      <c r="N309" s="11"/>
      <c r="O309" s="11"/>
      <c r="P309" s="11"/>
      <c r="Q309" s="11"/>
    </row>
    <row r="310" customFormat="false" ht="15" hidden="false" customHeight="true" outlineLevel="0" collapsed="false">
      <c r="C310" s="18"/>
      <c r="D310" s="11"/>
      <c r="E310" s="11"/>
      <c r="F310" s="11"/>
      <c r="G310" s="11"/>
      <c r="H310" s="11"/>
      <c r="I310" s="11"/>
      <c r="J310" s="11"/>
      <c r="K310" s="11"/>
      <c r="L310" s="11"/>
      <c r="M310" s="11"/>
      <c r="N310" s="11"/>
      <c r="O310" s="11"/>
      <c r="P310" s="11"/>
      <c r="Q310" s="11"/>
    </row>
    <row r="311" customFormat="false" ht="15" hidden="false" customHeight="true" outlineLevel="0" collapsed="false">
      <c r="I311" s="11"/>
    </row>
    <row r="312" customFormat="false" ht="15" hidden="false" customHeight="true" outlineLevel="0" collapsed="false">
      <c r="I312" s="11"/>
    </row>
    <row r="313" customFormat="false" ht="15" hidden="false" customHeight="true" outlineLevel="0" collapsed="false">
      <c r="I313" s="11"/>
    </row>
    <row r="314" customFormat="false" ht="15" hidden="false" customHeight="true" outlineLevel="0" collapsed="false">
      <c r="I314" s="11"/>
    </row>
    <row r="315" customFormat="false" ht="15" hidden="false" customHeight="true" outlineLevel="0" collapsed="false">
      <c r="I315" s="11"/>
    </row>
    <row r="316" customFormat="false" ht="15" hidden="false" customHeight="true" outlineLevel="0" collapsed="false">
      <c r="I316" s="11"/>
    </row>
    <row r="317" customFormat="false" ht="15" hidden="false" customHeight="true" outlineLevel="0" collapsed="false">
      <c r="I317" s="11"/>
    </row>
    <row r="318" customFormat="false" ht="15" hidden="false" customHeight="true" outlineLevel="0" collapsed="false">
      <c r="I318" s="11"/>
    </row>
    <row r="319" customFormat="false" ht="15" hidden="false" customHeight="true" outlineLevel="0" collapsed="false">
      <c r="I319" s="11"/>
    </row>
    <row r="320" customFormat="false" ht="15" hidden="false" customHeight="true" outlineLevel="0" collapsed="false">
      <c r="I320" s="11"/>
    </row>
    <row r="321" customFormat="false" ht="15" hidden="false" customHeight="true" outlineLevel="0" collapsed="false">
      <c r="I321" s="11"/>
    </row>
    <row r="322" customFormat="false" ht="15" hidden="false" customHeight="true" outlineLevel="0" collapsed="false">
      <c r="I322" s="11"/>
    </row>
    <row r="323" customFormat="false" ht="15" hidden="false" customHeight="true" outlineLevel="0" collapsed="false">
      <c r="I323" s="11"/>
    </row>
    <row r="324" customFormat="false" ht="15" hidden="false" customHeight="true" outlineLevel="0" collapsed="false">
      <c r="I324" s="11"/>
    </row>
    <row r="325" customFormat="false" ht="15" hidden="false" customHeight="true" outlineLevel="0" collapsed="false">
      <c r="I325" s="11"/>
    </row>
    <row r="326" customFormat="false" ht="15" hidden="false" customHeight="true" outlineLevel="0" collapsed="false">
      <c r="I326" s="11"/>
    </row>
    <row r="327" customFormat="false" ht="15" hidden="false" customHeight="true" outlineLevel="0" collapsed="false">
      <c r="I327" s="11"/>
    </row>
    <row r="328" customFormat="false" ht="15" hidden="false" customHeight="true" outlineLevel="0" collapsed="false">
      <c r="I328" s="11"/>
    </row>
    <row r="329" customFormat="false" ht="15" hidden="false" customHeight="true" outlineLevel="0" collapsed="false">
      <c r="I329" s="11"/>
    </row>
    <row r="330" customFormat="false" ht="15" hidden="false" customHeight="true" outlineLevel="0" collapsed="false">
      <c r="I330" s="11"/>
    </row>
    <row r="331" customFormat="false" ht="15" hidden="false" customHeight="true" outlineLevel="0" collapsed="false">
      <c r="I331" s="11"/>
    </row>
    <row r="332" customFormat="false" ht="15" hidden="false" customHeight="true" outlineLevel="0" collapsed="false">
      <c r="I332" s="11"/>
    </row>
    <row r="333" customFormat="false" ht="15" hidden="false" customHeight="true" outlineLevel="0" collapsed="false">
      <c r="I333" s="11"/>
    </row>
    <row r="334" customFormat="false" ht="15" hidden="false" customHeight="true" outlineLevel="0" collapsed="false">
      <c r="I334" s="11"/>
    </row>
    <row r="335" customFormat="false" ht="15" hidden="false" customHeight="true" outlineLevel="0" collapsed="false">
      <c r="I335" s="11"/>
    </row>
    <row r="336" customFormat="false" ht="15" hidden="false" customHeight="true" outlineLevel="0" collapsed="false">
      <c r="I336" s="11"/>
    </row>
    <row r="337" customFormat="false" ht="15" hidden="false" customHeight="true" outlineLevel="0" collapsed="false">
      <c r="I337" s="11"/>
    </row>
    <row r="338" customFormat="false" ht="15" hidden="false" customHeight="true" outlineLevel="0" collapsed="false">
      <c r="I338" s="11"/>
    </row>
    <row r="339" customFormat="false" ht="15" hidden="false" customHeight="true" outlineLevel="0" collapsed="false">
      <c r="I339" s="11"/>
    </row>
    <row r="340" customFormat="false" ht="15" hidden="false" customHeight="true" outlineLevel="0" collapsed="false">
      <c r="I340" s="11"/>
    </row>
    <row r="341" customFormat="false" ht="15" hidden="false" customHeight="true" outlineLevel="0" collapsed="false">
      <c r="I341" s="11"/>
    </row>
    <row r="342" customFormat="false" ht="15" hidden="false" customHeight="true" outlineLevel="0" collapsed="false">
      <c r="I342" s="11"/>
    </row>
  </sheetData>
  <autoFilter ref="B15:Q308"/>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2e623f0-21f2-45ff-90ce-bb6dbd5e9db3">
      <Terms xmlns="http://schemas.microsoft.com/office/infopath/2007/PartnerControls"/>
    </lcf76f155ced4ddcb4097134ff3c332f>
    <TaxCatchAll xmlns="861a327e-8e6f-451e-a173-6d5787f5002e" xsi:nil="true"/>
    <Notiz xmlns="b2e623f0-21f2-45ff-90ce-bb6dbd5e9db3" xsi:nil="true"/>
    <Software_x002d_Beschreibung xmlns="b2e623f0-21f2-45ff-90ce-bb6dbd5e9db3" xsi:nil="true"/>
  </documentManagement>
</p:properties>
</file>

<file path=customXml/itemProps1.xml><?xml version="1.0" encoding="utf-8"?>
<ds:datastoreItem xmlns:ds="http://schemas.openxmlformats.org/officeDocument/2006/customXml" ds:itemID="{DE724C10-FDBC-4FD1-B917-BC9109B2BE4C}">
  <ds:schemaRefs>
    <ds:schemaRef ds:uri="http://schemas.microsoft.com/office/2006/metadata/properties"/>
    <ds:schemaRef ds:uri="http://schemas.microsoft.com/office/infopath/2007/PartnerControls"/>
    <ds:schemaRef ds:uri="b2e623f0-21f2-45ff-90ce-bb6dbd5e9db3"/>
    <ds:schemaRef ds:uri="861a327e-8e6f-451e-a173-6d5787f5002e"/>
  </ds:schemaRefs>
</ds:datastoreItem>
</file>

<file path=docProps/app.xml><?xml version="1.0" encoding="utf-8"?>
<Properties xmlns="http://schemas.openxmlformats.org/officeDocument/2006/extended-properties" xmlns:vt="http://schemas.openxmlformats.org/officeDocument/2006/docPropsVTypes">
  <Template/>
  <TotalTime>34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2025-10-17T08:54:56Z</dcterms:created>
  <dc:creator>Rene Bialik</dc:creator>
  <dc:description/>
  <dc:language>de-DE</dc:language>
  <cp:lastModifiedBy/>
  <dcterms:modified xsi:type="dcterms:W3CDTF">2026-06-12T16:02:36Z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0x010100D694C1BF2A4A814DB8A490B7D9892513</vt:lpwstr>
  </property>
  <property fmtid="{D5CDD505-2E9C-101B-9397-08002B2CF9AE}" pid="3" name="MediaServiceImageTags">
    <vt:lpwstr/>
  </property>
</Properties>
</file>